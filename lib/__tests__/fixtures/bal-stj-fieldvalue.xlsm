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bberetta001\Downloads\"/>
    </mc:Choice>
  </mc:AlternateContent>
  <xr:revisionPtr revIDLastSave="0" documentId="8_{E3632AB9-D4A6-4354-A852-61BAE46DBCD4}" xr6:coauthVersionLast="47" xr6:coauthVersionMax="47" xr10:uidLastSave="{00000000-0000-0000-0000-000000000000}"/>
  <bookViews>
    <workbookView xWindow="-120" yWindow="-120" windowWidth="29040" windowHeight="17520" activeTab="13" xr2:uid="{00000000-000D-0000-FFFF-FFFF00000000}"/>
  </bookViews>
  <sheets>
    <sheet name="Common" sheetId="21" r:id="rId1"/>
    <sheet name="SMS" sheetId="3" state="hidden" r:id="rId2"/>
    <sheet name="VMS" sheetId="4" state="hidden" r:id="rId3"/>
    <sheet name="MMS" sheetId="47" state="hidden" r:id="rId4"/>
    <sheet name="LINE" sheetId="5" state="hidden" r:id="rId5"/>
    <sheet name="KKT" sheetId="7" state="hidden" r:id="rId6"/>
    <sheet name="WECHAT" sheetId="6" state="hidden" r:id="rId7"/>
    <sheet name="TASK" sheetId="8" state="hidden" r:id="rId8"/>
    <sheet name="WHATSAPP" sheetId="48" state="hidden" r:id="rId9"/>
    <sheet name="Channel Overview" sheetId="10" state="hidden" r:id="rId10"/>
    <sheet name="Settings" sheetId="13" r:id="rId11"/>
    <sheet name="Campaign Name Generator" sheetId="64" state="hidden" r:id="rId12"/>
    <sheet name="EMAIL" sheetId="11" state="hidden" r:id="rId13"/>
    <sheet name="Campaign Brief" sheetId="218" r:id="rId14"/>
  </sheets>
  <definedNames>
    <definedName name="_xlnm._FilterDatabase" localSheetId="10" hidden="1">Settings!$T$2:$Z$24</definedName>
    <definedName name="_xleta.AND" hidden="1" xlm="1">#NAME?</definedName>
    <definedName name="_xleta.CONCAT" hidden="1" xlm="1">#NAME?</definedName>
    <definedName name="_xleta.TEXT" hidden="1" xlm="1">#NAME?</definedName>
    <definedName name="_xleta.TEXTJOIN" hidden="1" xlm="1">#NAME?</definedName>
    <definedName name="Cat_Communication">Settings!$T$3:$T$24</definedName>
    <definedName name="Cat_Event">Settings!$U$3:$U$6</definedName>
    <definedName name="Cat_Gifts">Settings!$W$3:$W$13</definedName>
    <definedName name="Cat_Moments">Settings!$Z$3:$Z$18</definedName>
    <definedName name="Cat_NPS">Settings!$X$3:$X$3</definedName>
    <definedName name="Cat_Prospect">Settings!$Y$3:$Y$3</definedName>
    <definedName name="Cat_Services">Settings!$V$3:$V$13</definedName>
    <definedName name="Category_List">"Settings!$U$2:$U$8"</definedName>
    <definedName name="Communication_Sub">"Settings!$T$3:$T$24"</definedName>
    <definedName name="Event_Sub">"Settings!$U$3:$U$6"</definedName>
    <definedName name="Gifts_Sub">"Settings!$W$3:$W$11"</definedName>
    <definedName name="Moments_Sub">"Settings!$Z$3:$Z$18"</definedName>
    <definedName name="NPS_Sub">"Settings!$X$3"</definedName>
    <definedName name="Prospect_Sub">"Settings!$Y$3"</definedName>
    <definedName name="Services_Sub">"Settings!$V$3:$V$13"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G9" i="13" s="1"/>
  <c r="F10" i="13"/>
  <c r="F9" i="13"/>
  <c r="F8" i="13"/>
  <c r="F7" i="13"/>
  <c r="F5" i="13"/>
  <c r="F4" i="13"/>
  <c r="F3" i="13"/>
  <c r="B2" i="48"/>
  <c r="B2" i="6"/>
  <c r="B2" i="7"/>
  <c r="B2" i="5"/>
  <c r="B2" i="47"/>
  <c r="B2" i="8"/>
  <c r="B25" i="21" a="1"/>
  <c r="B25" i="21" s="1"/>
  <c r="B2" i="3"/>
  <c r="B2" i="11"/>
  <c r="C3" i="64"/>
  <c r="F11" i="64"/>
  <c r="F22" i="64"/>
  <c r="F37" i="13"/>
  <c r="F38" i="13"/>
  <c r="F39" i="13"/>
  <c r="C5" i="13"/>
  <c r="C6" i="13"/>
  <c r="C7" i="13"/>
  <c r="C8" i="13"/>
  <c r="C9" i="13"/>
  <c r="C10" i="13"/>
  <c r="C13" i="13"/>
  <c r="C14" i="13"/>
  <c r="C15" i="13"/>
  <c r="C16" i="13"/>
  <c r="C17" i="13"/>
  <c r="C18" i="13"/>
  <c r="C4" i="13"/>
  <c r="C3" i="13"/>
  <c r="D19" i="21" l="1" a="1"/>
  <c r="D19" i="2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<sst xmlns="http://schemas.openxmlformats.org/spreadsheetml/2006/main" count="725" uniqueCount="407">
  <si>
    <t>BALENCIAGA - CAMPAIGN DETAILS</t>
  </si>
  <si>
    <t>FIELD</t>
  </si>
  <si>
    <t>DESCRIPTION</t>
  </si>
  <si>
    <t>VALUE</t>
  </si>
  <si>
    <t>Maison</t>
  </si>
  <si>
    <t>Brand / maison</t>
  </si>
  <si>
    <t>Balenciaga</t>
  </si>
  <si>
    <t>Campaign Type</t>
  </si>
  <si>
    <t>ADHOC/NPS/PRIVACY/AFTERSALES/CJ</t>
  </si>
  <si>
    <t>ADHOC</t>
  </si>
  <si>
    <t>Subtype</t>
  </si>
  <si>
    <t>GLOBAL/LOCAL/SALE</t>
  </si>
  <si>
    <t>GLOBAL</t>
  </si>
  <si>
    <t>Category</t>
  </si>
  <si>
    <t>OTM/OTO</t>
  </si>
  <si>
    <t>OTM</t>
  </si>
  <si>
    <t>Channel</t>
  </si>
  <si>
    <t>EMAIL</t>
  </si>
  <si>
    <t>Activate</t>
  </si>
  <si>
    <t>SMS</t>
  </si>
  <si>
    <t xml:space="preserve">VMS </t>
  </si>
  <si>
    <t>MMS</t>
  </si>
  <si>
    <t>LINE</t>
  </si>
  <si>
    <t>KKT</t>
  </si>
  <si>
    <t>WECHAT</t>
  </si>
  <si>
    <t>TASK</t>
  </si>
  <si>
    <t>WHATSAPP</t>
  </si>
  <si>
    <t>Launch date</t>
  </si>
  <si>
    <t>Scheduled send date (YYYY-MM-DD)</t>
  </si>
  <si>
    <t>Campaign Name</t>
  </si>
  <si>
    <t>Unique campaign identifier</t>
  </si>
  <si>
    <t>Season</t>
  </si>
  <si>
    <t>Country</t>
  </si>
  <si>
    <t>Target country (Select in table below)</t>
  </si>
  <si>
    <t>Note</t>
  </si>
  <si>
    <t>INCLUDED LANGUAGES</t>
  </si>
  <si>
    <t>TARGET</t>
  </si>
  <si>
    <t>Target</t>
  </si>
  <si>
    <t>Add target description here</t>
  </si>
  <si>
    <t>CONTENT DEFINITION</t>
  </si>
  <si>
    <t>Message Body</t>
  </si>
  <si>
    <t>SMS message text (max 160 chars per segment)</t>
  </si>
  <si>
    <t>Exclusive access to our new drop. Shop now:</t>
  </si>
  <si>
    <t>⚠️ Important Note</t>
  </si>
  <si>
    <t>Use the latest dynamic unsubscribe method for SMS</t>
  </si>
  <si>
    <t>VMS</t>
  </si>
  <si>
    <t>MMS / VMS message text</t>
  </si>
  <si>
    <t>Discover our exclusive collection…</t>
  </si>
  <si>
    <t>URL1</t>
  </si>
  <si>
    <t>Primary destination link</t>
  </si>
  <si>
    <t>https://brand.cn/collection</t>
  </si>
  <si>
    <t>URL2</t>
  </si>
  <si>
    <t>Secondary destination link (optional)</t>
  </si>
  <si>
    <t>https://brand.cn/store-locator</t>
  </si>
  <si>
    <t>Use the latest dynamic unsubscribe method for VMS</t>
  </si>
  <si>
    <t>Use the latest dynamic unsubscribe method for MMS</t>
  </si>
  <si>
    <t>Message Text</t>
  </si>
  <si>
    <t>Message body text</t>
  </si>
  <si>
    <t>Discover our new arrivals…</t>
  </si>
  <si>
    <t>Content</t>
  </si>
  <si>
    <t>Content format description</t>
  </si>
  <si>
    <t>Text + image carousel</t>
  </si>
  <si>
    <t>CTA</t>
  </si>
  <si>
    <t>Call-to-action link</t>
  </si>
  <si>
    <t>https://brand.com/jp/new</t>
  </si>
  <si>
    <t>KAKAO</t>
  </si>
  <si>
    <t>Message</t>
  </si>
  <si>
    <t>Hello — promo message here</t>
  </si>
  <si>
    <t>Image Asset</t>
  </si>
  <si>
    <t>Image file (dimensions depend on type)</t>
  </si>
  <si>
    <t>800×600px or 720×720px JPG</t>
  </si>
  <si>
    <t>URL</t>
  </si>
  <si>
    <t>Destination link</t>
  </si>
  <si>
    <t>https://brand.com/kr/promo</t>
  </si>
  <si>
    <t>Image Size</t>
  </si>
  <si>
    <t>Required image dimensions for selected type</t>
  </si>
  <si>
    <t>FriendTalk: 800×600 | Wide: 800×600</t>
  </si>
  <si>
    <t>Message content (text / image / article link)</t>
  </si>
  <si>
    <t>Text + image or article card</t>
  </si>
  <si>
    <t>Visual Asset</t>
  </si>
  <si>
    <t>Image or rich-media asset reference</t>
  </si>
  <si>
    <t>wechat_card_gucci.jpg</t>
  </si>
  <si>
    <t>CHANNEL SPECIFICATIONS</t>
  </si>
  <si>
    <t>Subject</t>
  </si>
  <si>
    <t>Task subject</t>
  </si>
  <si>
    <t>Description</t>
  </si>
  <si>
    <t>Task description</t>
  </si>
  <si>
    <t>Task Start Date</t>
  </si>
  <si>
    <t>Start date controlling when the task becomes visible to the CA</t>
  </si>
  <si>
    <t>Task Due Date</t>
  </si>
  <si>
    <t>Task completion deadline</t>
  </si>
  <si>
    <t>Priority</t>
  </si>
  <si>
    <t>2 choices : Normal (by default) or priority</t>
  </si>
  <si>
    <t>Normal</t>
  </si>
  <si>
    <t>Type of task</t>
  </si>
  <si>
    <t>Event</t>
  </si>
  <si>
    <t>Sub Category</t>
  </si>
  <si>
    <t>Subtype of task</t>
  </si>
  <si>
    <t>Follow up - Phone order</t>
  </si>
  <si>
    <t>EXAMPLE / NOTES</t>
  </si>
  <si>
    <t xml:space="preserve">Detailed message </t>
  </si>
  <si>
    <t>Encourage the client to visit the boutique within the next days.</t>
  </si>
  <si>
    <t>KERING  ·  Channel Overview by Maison</t>
  </si>
  <si>
    <t>GUCCI</t>
  </si>
  <si>
    <t>BALENCIAGA</t>
  </si>
  <si>
    <t>BOTTEGA
VENETA</t>
  </si>
  <si>
    <t>SAINT LAURENT</t>
  </si>
  <si>
    <t>BRIONI</t>
  </si>
  <si>
    <t>ALEXANDER
MCQUEEN</t>
  </si>
  <si>
    <t>BOUCHERON</t>
  </si>
  <si>
    <t>POMELLATO</t>
  </si>
  <si>
    <t>Email</t>
  </si>
  <si>
    <t>●</t>
  </si>
  <si>
    <t>Transactional Emails
(S.t.a.r.t.r.e.k)</t>
  </si>
  <si>
    <t>SMS/MMS
(InfoBip)</t>
  </si>
  <si>
    <t>WhatsApp
(InfoBip)</t>
  </si>
  <si>
    <t>SMS/MMS APAC
(11 Digital)</t>
  </si>
  <si>
    <t>WeChat</t>
  </si>
  <si>
    <t>Line</t>
  </si>
  <si>
    <t>KakaoTalk</t>
  </si>
  <si>
    <t>Push</t>
  </si>
  <si>
    <t>Custom Task Engine
(CAT)</t>
  </si>
  <si>
    <t>Social Medias
(Cezium)</t>
  </si>
  <si>
    <t>Maturity</t>
  </si>
  <si>
    <t>In progress</t>
  </si>
  <si>
    <t>Not deployed</t>
  </si>
  <si>
    <t>MAISON</t>
  </si>
  <si>
    <t>LANGUAGE</t>
  </si>
  <si>
    <t>POOL</t>
  </si>
  <si>
    <t>COUNTRY</t>
  </si>
  <si>
    <t>ISO CODE 2</t>
  </si>
  <si>
    <t>CAMPAIGN_TYPE</t>
  </si>
  <si>
    <t>ADHOC_SUBTYPE</t>
  </si>
  <si>
    <t>ADHOC_CATEGORY</t>
  </si>
  <si>
    <t>CHANNELS</t>
  </si>
  <si>
    <t>AUTO_TYPE</t>
  </si>
  <si>
    <t>AUTO_CATEGORY</t>
  </si>
  <si>
    <t>AUTO_CUSTOMER</t>
  </si>
  <si>
    <t>AUTO_TOUCHPOINT</t>
  </si>
  <si>
    <t>SEASONS</t>
  </si>
  <si>
    <t>COUNTRIES</t>
  </si>
  <si>
    <t>TARGETS</t>
  </si>
  <si>
    <t>Communication</t>
  </si>
  <si>
    <t>Services</t>
  </si>
  <si>
    <t>Gifts</t>
  </si>
  <si>
    <t>NPS</t>
  </si>
  <si>
    <t>Prospect</t>
  </si>
  <si>
    <t>Moments</t>
  </si>
  <si>
    <r>
      <t xml:space="preserve">English → </t>
    </r>
    <r>
      <rPr>
        <b/>
        <sz val="10"/>
        <color theme="1"/>
        <rFont val="Segoe UI"/>
        <family val="2"/>
      </rPr>
      <t>EN</t>
    </r>
  </si>
  <si>
    <t>US</t>
  </si>
  <si>
    <t>United States → US</t>
  </si>
  <si>
    <t>EN</t>
  </si>
  <si>
    <t>CJ</t>
  </si>
  <si>
    <t>Birthday</t>
  </si>
  <si>
    <t>Client</t>
  </si>
  <si>
    <t>Retail</t>
  </si>
  <si>
    <t>FA26</t>
  </si>
  <si>
    <t>CN</t>
  </si>
  <si>
    <t>Elite</t>
  </si>
  <si>
    <t>Follow up - Order</t>
  </si>
  <si>
    <t>Invitation</t>
  </si>
  <si>
    <t>Phone order</t>
  </si>
  <si>
    <t>Special Occasion Gift</t>
  </si>
  <si>
    <t>Phone appointment</t>
  </si>
  <si>
    <r>
      <t xml:space="preserve">Italian → </t>
    </r>
    <r>
      <rPr>
        <b/>
        <sz val="10"/>
        <color theme="1"/>
        <rFont val="Segoe UI"/>
        <family val="2"/>
      </rPr>
      <t>IT</t>
    </r>
  </si>
  <si>
    <t>Canada → CA</t>
  </si>
  <si>
    <t>LOCAL</t>
  </si>
  <si>
    <t>OTO</t>
  </si>
  <si>
    <t>PostPurchase</t>
  </si>
  <si>
    <t>Ecom</t>
  </si>
  <si>
    <t>WI26</t>
  </si>
  <si>
    <t>KR</t>
  </si>
  <si>
    <t>VIP</t>
  </si>
  <si>
    <t>Thank you</t>
  </si>
  <si>
    <t>Shipping upgrade</t>
  </si>
  <si>
    <t>Reward Gift</t>
  </si>
  <si>
    <t>Public Event Invitation</t>
  </si>
  <si>
    <r>
      <t xml:space="preserve">French → </t>
    </r>
    <r>
      <rPr>
        <b/>
        <sz val="10"/>
        <color theme="1"/>
        <rFont val="Segoe UI"/>
        <family val="2"/>
      </rPr>
      <t>FR</t>
    </r>
  </si>
  <si>
    <t>Mexico → MX</t>
  </si>
  <si>
    <t>MX</t>
  </si>
  <si>
    <t>SALE</t>
  </si>
  <si>
    <t>PRIVACY</t>
  </si>
  <si>
    <t>ThankYou</t>
  </si>
  <si>
    <t>ClientNew</t>
  </si>
  <si>
    <t>RetailEcom</t>
  </si>
  <si>
    <t>SP27</t>
  </si>
  <si>
    <t>JP</t>
  </si>
  <si>
    <t>Standard</t>
  </si>
  <si>
    <t>Follow up - High Value Order</t>
  </si>
  <si>
    <t>Invitation Trunk Show</t>
  </si>
  <si>
    <t>Product Consignment</t>
  </si>
  <si>
    <t>Brand Reward Gift</t>
  </si>
  <si>
    <t>Public Event</t>
  </si>
  <si>
    <r>
      <t xml:space="preserve">Spanish → </t>
    </r>
    <r>
      <rPr>
        <b/>
        <sz val="10"/>
        <color theme="1"/>
        <rFont val="Segoe UI"/>
        <family val="2"/>
      </rPr>
      <t>ES</t>
    </r>
  </si>
  <si>
    <t>Brazil → BR</t>
  </si>
  <si>
    <t>BR</t>
  </si>
  <si>
    <t>PT</t>
  </si>
  <si>
    <t>AFTERSALES</t>
  </si>
  <si>
    <t>AfterSales</t>
  </si>
  <si>
    <t>ClientExisting</t>
  </si>
  <si>
    <t>Outlet</t>
  </si>
  <si>
    <t>SU27</t>
  </si>
  <si>
    <t>New</t>
  </si>
  <si>
    <t>Follow up</t>
  </si>
  <si>
    <t>Product Arrival</t>
  </si>
  <si>
    <t>Tailoring</t>
  </si>
  <si>
    <t>Situational Gift</t>
  </si>
  <si>
    <t>Private Appointment Invitation - Collection</t>
  </si>
  <si>
    <r>
      <t xml:space="preserve">Spanish (Mexico) → </t>
    </r>
    <r>
      <rPr>
        <b/>
        <sz val="10"/>
        <color theme="1"/>
        <rFont val="Segoe UI"/>
        <family val="2"/>
      </rPr>
      <t>MX</t>
    </r>
  </si>
  <si>
    <t>FR</t>
  </si>
  <si>
    <t>France → FR</t>
  </si>
  <si>
    <t>AntiChurn</t>
  </si>
  <si>
    <t>ClientElite</t>
  </si>
  <si>
    <t>RetailOutlet</t>
  </si>
  <si>
    <t>EU</t>
  </si>
  <si>
    <t>Special Occasion Wishes</t>
  </si>
  <si>
    <t>After Sales Update</t>
  </si>
  <si>
    <t>Festivity Gift</t>
  </si>
  <si>
    <t>Private Appointment - Collection</t>
  </si>
  <si>
    <r>
      <t xml:space="preserve">Portuguese → </t>
    </r>
    <r>
      <rPr>
        <b/>
        <sz val="10"/>
        <color theme="1"/>
        <rFont val="Segoe UI"/>
        <family val="2"/>
      </rPr>
      <t>PT</t>
    </r>
  </si>
  <si>
    <t>Monaco → MC</t>
  </si>
  <si>
    <t>WelcomeLine</t>
  </si>
  <si>
    <t>ClientProspect</t>
  </si>
  <si>
    <t>IT</t>
  </si>
  <si>
    <t>Client Special Occasion Wishes</t>
  </si>
  <si>
    <t>Reservation List Update</t>
  </si>
  <si>
    <t>Clienteling Gift</t>
  </si>
  <si>
    <t>Private Appointment Invitation</t>
  </si>
  <si>
    <r>
      <t xml:space="preserve">Japanese → </t>
    </r>
    <r>
      <rPr>
        <b/>
        <sz val="10"/>
        <color theme="1"/>
        <rFont val="Segoe UI"/>
        <family val="2"/>
      </rPr>
      <t>JP</t>
    </r>
  </si>
  <si>
    <t>Italy → IT</t>
  </si>
  <si>
    <t>Loyalty</t>
  </si>
  <si>
    <t>Product Outreach</t>
  </si>
  <si>
    <t>Reserve in store</t>
  </si>
  <si>
    <t>Compensation Gift</t>
  </si>
  <si>
    <t>Private Appointment</t>
  </si>
  <si>
    <r>
      <t xml:space="preserve">Korean → </t>
    </r>
    <r>
      <rPr>
        <b/>
        <sz val="10"/>
        <color theme="1"/>
        <rFont val="Segoe UI"/>
        <family val="2"/>
      </rPr>
      <t>KO</t>
    </r>
  </si>
  <si>
    <t>UK</t>
  </si>
  <si>
    <t>United Kingdom → GB</t>
  </si>
  <si>
    <t>Consent</t>
  </si>
  <si>
    <t>Catalog</t>
  </si>
  <si>
    <t>Pick up in store</t>
  </si>
  <si>
    <t>Digital Gift</t>
  </si>
  <si>
    <t>Online Book an appointment</t>
  </si>
  <si>
    <r>
      <t xml:space="preserve">Simplified Chinese → </t>
    </r>
    <r>
      <rPr>
        <b/>
        <sz val="10"/>
        <color theme="1"/>
        <rFont val="Segoe UI"/>
        <family val="2"/>
      </rPr>
      <t>ZHS</t>
    </r>
  </si>
  <si>
    <t>ZHS</t>
  </si>
  <si>
    <t>Spain → ES</t>
  </si>
  <si>
    <t>ES</t>
  </si>
  <si>
    <t>Welcome</t>
  </si>
  <si>
    <t>Catalog or Lookbook</t>
  </si>
  <si>
    <t>Consignment</t>
  </si>
  <si>
    <t>Private Online Appointment</t>
  </si>
  <si>
    <r>
      <t xml:space="preserve">Traditional Chinese → </t>
    </r>
    <r>
      <rPr>
        <b/>
        <sz val="10"/>
        <color theme="1"/>
        <rFont val="Segoe UI"/>
        <family val="2"/>
      </rPr>
      <t>ZHT</t>
    </r>
  </si>
  <si>
    <t>ZHT</t>
  </si>
  <si>
    <t>Austria → AT</t>
  </si>
  <si>
    <t>ProductAnniversary</t>
  </si>
  <si>
    <t>New Collection - Presentation</t>
  </si>
  <si>
    <t>Service Offer</t>
  </si>
  <si>
    <t>Private relationship building Invitation</t>
  </si>
  <si>
    <r>
      <t xml:space="preserve">Thailand → </t>
    </r>
    <r>
      <rPr>
        <b/>
        <sz val="10"/>
        <color theme="1"/>
        <rFont val="Segoe UI"/>
        <family val="2"/>
      </rPr>
      <t>TH</t>
    </r>
  </si>
  <si>
    <t>Belgium → BE</t>
  </si>
  <si>
    <t>New Collection - Presentation or Recommendation</t>
  </si>
  <si>
    <t>Private relationship building</t>
  </si>
  <si>
    <t>Switzerland → CH</t>
  </si>
  <si>
    <t>New Collection</t>
  </si>
  <si>
    <t>Private Appointment Invitation Remote - Collection</t>
  </si>
  <si>
    <t>Czech Republic → CZ</t>
  </si>
  <si>
    <t>Festivity</t>
  </si>
  <si>
    <t>Video Private Appointment</t>
  </si>
  <si>
    <t>Germany → DE</t>
  </si>
  <si>
    <t>Mall Promotion</t>
  </si>
  <si>
    <t>Private Video Appointment</t>
  </si>
  <si>
    <t>Denmark → DK</t>
  </si>
  <si>
    <t>Commercial Outreach</t>
  </si>
  <si>
    <t>Focused Private Appointment</t>
  </si>
  <si>
    <t>Non-Commercial Outreach</t>
  </si>
  <si>
    <t>Private In-Store Appointment</t>
  </si>
  <si>
    <t>Ireland → IE</t>
  </si>
  <si>
    <t>Product outreach with Wishlist</t>
  </si>
  <si>
    <t>Netherlands → NL</t>
  </si>
  <si>
    <t>Product push</t>
  </si>
  <si>
    <t>ME</t>
  </si>
  <si>
    <t>United Arab Emirates → AE</t>
  </si>
  <si>
    <t>Product sharing</t>
  </si>
  <si>
    <t>Kuwait → KW</t>
  </si>
  <si>
    <t>Relationship Building</t>
  </si>
  <si>
    <t>Qatar → QA</t>
  </si>
  <si>
    <t>SA Reassignment</t>
  </si>
  <si>
    <t>Saudi Arabia → SA</t>
  </si>
  <si>
    <t>Japan → JP</t>
  </si>
  <si>
    <t>JA</t>
  </si>
  <si>
    <t>South Korea → KR</t>
  </si>
  <si>
    <t>KO</t>
  </si>
  <si>
    <t>Mainland China → CN</t>
  </si>
  <si>
    <t>APAC</t>
  </si>
  <si>
    <t>Singapore → SG</t>
  </si>
  <si>
    <t>Australia → AU</t>
  </si>
  <si>
    <t>New Zealand → NZ</t>
  </si>
  <si>
    <t>Thailand → TH</t>
  </si>
  <si>
    <t>EN / TH</t>
  </si>
  <si>
    <t>Malaysia → MY</t>
  </si>
  <si>
    <t>Taiwan → TW</t>
  </si>
  <si>
    <t>EN / ZHT</t>
  </si>
  <si>
    <t>Hong Kong → HK</t>
  </si>
  <si>
    <t>Macao → MO</t>
  </si>
  <si>
    <t>ROW</t>
  </si>
  <si>
    <t>📋 CAMPAIGN NAME GENERATOR</t>
  </si>
  <si>
    <t>✅ GENERATED NAME:</t>
  </si>
  <si>
    <t>👆 Copy the generated name above (select cell C3 and copy)</t>
  </si>
  <si>
    <t>🔹 STEP 1: SELECT CAMPAIGN TYPE</t>
  </si>
  <si>
    <t>🔸 ADHOC CAMPAIGN FIELDS</t>
  </si>
  <si>
    <t>Field</t>
  </si>
  <si>
    <t>Value</t>
  </si>
  <si>
    <t>Required</t>
  </si>
  <si>
    <t>SUBTYPE</t>
  </si>
  <si>
    <t>Campaign scope (GLOBAL/LOCAL/SALE)</t>
  </si>
  <si>
    <t>✓ MANDATORY</t>
  </si>
  <si>
    <t>CATEGORY</t>
  </si>
  <si>
    <t>Campaign Category (OTM/OTO/OTF/ECARD)</t>
  </si>
  <si>
    <t>CHANNEL</t>
  </si>
  <si>
    <t>Communication channel</t>
  </si>
  <si>
    <t>LAUNCH DATE</t>
  </si>
  <si>
    <t>Format: YYYYMMDD (e.g., 20260518)</t>
  </si>
  <si>
    <t>CAMPAIGN NAME</t>
  </si>
  <si>
    <t>HappyNewYear</t>
  </si>
  <si>
    <t>Campaign name (no spaces)</t>
  </si>
  <si>
    <t>SEASON</t>
  </si>
  <si>
    <t>AW26</t>
  </si>
  <si>
    <t>Season code (e.g., AW24, SS25)</t>
  </si>
  <si>
    <t>○ Optional</t>
  </si>
  <si>
    <t>AT</t>
  </si>
  <si>
    <t>Country code (e.g., CN, KR)</t>
  </si>
  <si>
    <t>Target group (e.g., Elite, VIP)</t>
  </si>
  <si>
    <t>🔹 AUTOMATED JOURNEY FIELDS</t>
  </si>
  <si>
    <t>TYPE</t>
  </si>
  <si>
    <t>Journey type (CJ/NPS/PRIVACY/AFTERSALES)</t>
  </si>
  <si>
    <t>Journey category (Birthday/Welcome/etc.)</t>
  </si>
  <si>
    <t>CUSTOMER TYPE</t>
  </si>
  <si>
    <t>Customer segment</t>
  </si>
  <si>
    <t>TOUCHPOINT</t>
  </si>
  <si>
    <t>Customer touchpoint</t>
  </si>
  <si>
    <t>COUNTRY/CHANNEL</t>
  </si>
  <si>
    <t>Specific country or channel</t>
  </si>
  <si>
    <t>NAME</t>
  </si>
  <si>
    <t>Specific journey name</t>
  </si>
  <si>
    <t>📘 INSTRUCTIONS</t>
  </si>
  <si>
    <t>1. Select Campaign Type (ADHOC or AUTOMATED) in cell B7</t>
  </si>
  <si>
    <t>2. Fill in the corresponding fields using the dropdowns (yellow cells)</t>
  </si>
  <si>
    <t>3. Fields marked MANDATORY are required, Optional are not required</t>
  </si>
  <si>
    <t>4. The generated name appears at the TOP in cell C3 - ready to copy!</t>
  </si>
  <si>
    <t>5. To add new options: go to Options sheet and add values to the lists</t>
  </si>
  <si>
    <t>📝 EXAMPLES</t>
  </si>
  <si>
    <t>ADHOC Example:</t>
  </si>
  <si>
    <t>ADHOC_GLOBAL_OTM_EMAIL_20260518_CollectionLaunch</t>
  </si>
  <si>
    <t>ADHOC + Optional:</t>
  </si>
  <si>
    <t>ADHOC_LOCAL_OTM_MMS_20260518_CollectionLaunch_SS26_CN</t>
  </si>
  <si>
    <t>AUTOMATED Example:</t>
  </si>
  <si>
    <t>CJ_Birthday_ClientProspect_RetailEcom</t>
  </si>
  <si>
    <t>AUTOMATED + Optional:</t>
  </si>
  <si>
    <t>CJ_Loyalty_Client_RetailOutlet_UpgradeToElite</t>
  </si>
  <si>
    <t>LEGEND</t>
  </si>
  <si>
    <t>Yellow cells</t>
  </si>
  <si>
    <t>Input fields (use dropdown or type)</t>
  </si>
  <si>
    <t>MANDATORY</t>
  </si>
  <si>
    <t>Required fields (must be filled)</t>
  </si>
  <si>
    <t>Optional</t>
  </si>
  <si>
    <t>Optional fields (can be left empty)</t>
  </si>
  <si>
    <t xml:space="preserve">Target </t>
  </si>
  <si>
    <t>Subject Line</t>
  </si>
  <si>
    <t>Email subject</t>
  </si>
  <si>
    <t>Dear [Name], discover…</t>
  </si>
  <si>
    <t>Subject Line Default (optional)</t>
  </si>
  <si>
    <t>Dear client, discover…</t>
  </si>
  <si>
    <t>Preheader</t>
  </si>
  <si>
    <t>Preheader / preview text</t>
  </si>
  <si>
    <t>Explore the latest arrivals →</t>
  </si>
  <si>
    <t>Headline</t>
  </si>
  <si>
    <t>Main headline in the email body</t>
  </si>
  <si>
    <t>Spring — Summer 2026</t>
  </si>
  <si>
    <t>Body Copy</t>
  </si>
  <si>
    <t>Main copy in the email body</t>
  </si>
  <si>
    <t>Short editorial paragraph…</t>
  </si>
  <si>
    <t>CTA 1 Label</t>
  </si>
  <si>
    <t>Call-to-action button label</t>
  </si>
  <si>
    <t>Shop Now</t>
  </si>
  <si>
    <t>Body Copy 2</t>
  </si>
  <si>
    <t>CTA 2 Label</t>
  </si>
  <si>
    <t>Hero Asset URL</t>
  </si>
  <si>
    <t>Key Visual redirection</t>
  </si>
  <si>
    <t>https://brand.com/new-collection</t>
  </si>
  <si>
    <t>CTA 1 URL</t>
  </si>
  <si>
    <t>Call-to-action destination URL</t>
  </si>
  <si>
    <t>Packshots 1 URL</t>
  </si>
  <si>
    <t>Packshot Redirection</t>
  </si>
  <si>
    <t>https://brand.com/875638sn479</t>
  </si>
  <si>
    <t>Packshots 2 URL</t>
  </si>
  <si>
    <t>CTA 2 URL - WOMEN</t>
  </si>
  <si>
    <t>CTA 2 URL - MEN</t>
  </si>
  <si>
    <t>Mock Up</t>
  </si>
  <si>
    <t>Visual reference for the template structure</t>
  </si>
  <si>
    <t>Le7BowlingBag</t>
  </si>
  <si>
    <t>The target is WW</t>
  </si>
  <si>
    <t>ADHOC_GLOBAL_OTO_TASK_20260714_Le7BowlingBag</t>
  </si>
  <si>
    <t>Data Extensions&gt;Journeys&gt;2026&gt;07_July&gt;Le_7_Bolwing_Bag&gt;Le_7_Bolwing_Bag_Final_Target</t>
  </si>
  <si>
    <t>Task Campaign Name</t>
  </si>
  <si>
    <t>Le 7 Bowling Bag</t>
  </si>
  <si>
    <t>🆕👜 Le 7 Bowling Bag</t>
  </si>
  <si>
    <t>Invite your clients to discover the new Le 7 Bowling Bag. Leverage the digital catalog to share a personalized selection.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</si>
</sst>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8" x14ac:knownFonts="1">
    <font>
      <sz val="11"/>
      <color theme="1"/>
      <name val="Calibri"/>
      <family val="2"/>
      <scheme val="minor"/>
    </font>
    <font>
      <b/>
      <sz val="13"/>
      <color rgb="FF1C1A18"/>
      <name val="Arial"/>
      <family val="2"/>
    </font>
    <font>
      <b/>
      <sz val="11"/>
      <color rgb="FFFFFFFF"/>
      <name val="Arial"/>
      <family val="2"/>
    </font>
    <font>
      <b/>
      <sz val="9"/>
      <color rgb="FFFFFFFF"/>
      <name val="Arial"/>
      <family val="2"/>
    </font>
    <font>
      <sz val="14"/>
      <color rgb="FF9E9E9E"/>
      <name val="Arial"/>
      <family val="2"/>
    </font>
    <font>
      <sz val="14"/>
      <color rgb="FFFF9800"/>
      <name val="Arial"/>
      <family val="2"/>
    </font>
    <font>
      <sz val="14"/>
      <color rgb="FF4CAF50"/>
      <name val="Arial"/>
      <family val="2"/>
    </font>
    <font>
      <sz val="20"/>
      <color rgb="FF9E9E9E"/>
      <name val="Arial"/>
      <family val="2"/>
    </font>
    <font>
      <sz val="20"/>
      <color rgb="FF4CAF50"/>
      <name val="Arial"/>
      <family val="2"/>
    </font>
    <font>
      <sz val="20"/>
      <color rgb="FFFF9800"/>
      <name val="Arial"/>
      <family val="2"/>
    </font>
    <font>
      <b/>
      <sz val="9"/>
      <color rgb="FF5C3D3D"/>
      <name val="Arial"/>
      <family val="2"/>
    </font>
    <font>
      <sz val="9"/>
      <color rgb="FF5C3D3D"/>
      <name val="Arial"/>
      <family val="2"/>
    </font>
    <font>
      <b/>
      <sz val="10"/>
      <color theme="1"/>
      <name val="Segoe UI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1"/>
      <color theme="1"/>
      <name val="Calibri"/>
      <family val="2"/>
      <scheme val="minor"/>
    </font>
    <font>
      <i/>
      <sz val="11"/>
      <color rgb="FF0070C0"/>
      <name val="Calibri"/>
      <family val="2"/>
      <scheme val="minor"/>
    </font>
    <font>
      <b/>
      <sz val="11"/>
      <color rgb="FF538135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538135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1"/>
      <color rgb="FF66666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4"/>
      <color rgb="FFFFFFFF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C4A898"/>
      </patternFill>
    </fill>
    <fill>
      <patternFill patternType="solid">
        <fgColor rgb="FFF2E8E0"/>
      </patternFill>
    </fill>
    <fill>
      <patternFill patternType="solid">
        <fgColor rgb="FFFAF7F5"/>
      </patternFill>
    </fill>
    <fill>
      <patternFill patternType="solid">
        <fgColor rgb="FFF0E8DF"/>
      </patternFill>
    </fill>
    <fill>
      <patternFill patternType="solid">
        <fgColor rgb="FFFFFFFF"/>
      </patternFill>
    </fill>
    <fill>
      <patternFill patternType="solid">
        <fgColor rgb="FFD9B8B8"/>
      </patternFill>
    </fill>
    <fill>
      <patternFill patternType="solid">
        <fgColor rgb="FFFDF5F0"/>
      </patternFill>
    </fill>
    <fill>
      <patternFill patternType="solid">
        <fgColor rgb="FF4472C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53813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D4BDB0"/>
      </left>
      <right style="thin">
        <color rgb="FFD4BDB0"/>
      </right>
      <top style="thin">
        <color rgb="FFD4BDB0"/>
      </top>
      <bottom style="medium">
        <color rgb="FFC4A898"/>
      </bottom>
      <diagonal/>
    </border>
    <border>
      <left style="thin">
        <color rgb="FFD4BDB0"/>
      </left>
      <right style="thin">
        <color rgb="FFD4BDB0"/>
      </right>
      <top style="thin">
        <color rgb="FFD4BDB0"/>
      </top>
      <bottom style="thin">
        <color rgb="FFD4BDB0"/>
      </bottom>
      <diagonal/>
    </border>
    <border>
      <left style="thin">
        <color theme="2" tint="-0.749992370372631"/>
      </left>
      <right style="thin">
        <color theme="2" tint="-0.749992370372631"/>
      </right>
      <top style="thin">
        <color theme="2" tint="-0.749992370372631"/>
      </top>
      <bottom style="thin">
        <color theme="2" tint="-0.74999237037263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4BDB0"/>
      </left>
      <right/>
      <top style="thin">
        <color rgb="FFD4BDB0"/>
      </top>
      <bottom style="thin">
        <color rgb="FFD4BDB0"/>
      </bottom>
      <diagonal/>
    </border>
    <border>
      <left style="thin">
        <color rgb="FFD4BDB0"/>
      </left>
      <right style="thin">
        <color rgb="FFD4BDB0"/>
      </right>
      <top style="thin">
        <color rgb="FFD4BDB0"/>
      </top>
      <bottom/>
      <diagonal/>
    </border>
    <border>
      <left style="thin">
        <color rgb="FFD4BDB0"/>
      </left>
      <right style="thin">
        <color rgb="FFD4BDB0"/>
      </right>
      <top/>
      <bottom style="thin">
        <color rgb="FFD4BDB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D4BDB0"/>
      </right>
      <top style="thin">
        <color rgb="FFD4BDB0"/>
      </top>
      <bottom style="thin">
        <color rgb="FFD4BDB0"/>
      </bottom>
      <diagonal/>
    </border>
    <border>
      <left/>
      <right/>
      <top style="thin">
        <color rgb="FFD4BDB0"/>
      </top>
      <bottom style="thin">
        <color rgb="FFD4BDB0"/>
      </bottom>
      <diagonal/>
    </border>
    <border>
      <left/>
      <right/>
      <top/>
      <bottom style="thin">
        <color rgb="FFD4BDB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D4BDB0"/>
      </left>
      <right/>
      <top style="thin">
        <color rgb="FFD4BDB0"/>
      </top>
      <bottom style="medium">
        <color rgb="FFC4A898"/>
      </bottom>
      <diagonal/>
    </border>
    <border>
      <left/>
      <right style="thin">
        <color rgb="FFD4BDB0"/>
      </right>
      <top style="thin">
        <color rgb="FFD4BDB0"/>
      </top>
      <bottom style="medium">
        <color rgb="FFC4A89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5" fillId="0" borderId="0"/>
  </cellStyleXfs>
  <cellXfs count="101">
    <xf numFmtId="0" fontId="0" fillId="0" borderId="0" xfId="0"/>
    <xf numFmtId="0" fontId="0" fillId="2" borderId="0" xfId="0" applyFill="1"/>
    <xf numFmtId="0" fontId="4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0" fillId="4" borderId="3" xfId="0" applyFill="1" applyBorder="1"/>
    <xf numFmtId="0" fontId="10" fillId="4" borderId="3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13" fillId="9" borderId="4" xfId="0" applyFont="1" applyFill="1" applyBorder="1"/>
    <xf numFmtId="0" fontId="14" fillId="0" borderId="4" xfId="0" applyFont="1" applyBorder="1"/>
    <xf numFmtId="0" fontId="14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16" fillId="10" borderId="0" xfId="0" applyFont="1" applyFill="1"/>
    <xf numFmtId="0" fontId="16" fillId="0" borderId="0" xfId="0" applyFont="1"/>
    <xf numFmtId="0" fontId="0" fillId="0" borderId="0" xfId="0" applyAlignment="1">
      <alignment wrapText="1"/>
    </xf>
    <xf numFmtId="0" fontId="21" fillId="0" borderId="4" xfId="0" applyFont="1" applyBorder="1"/>
    <xf numFmtId="0" fontId="0" fillId="0" borderId="4" xfId="0" applyBorder="1"/>
    <xf numFmtId="0" fontId="0" fillId="10" borderId="4" xfId="0" applyFill="1" applyBorder="1"/>
    <xf numFmtId="0" fontId="22" fillId="0" borderId="4" xfId="0" applyFont="1" applyBorder="1"/>
    <xf numFmtId="0" fontId="23" fillId="0" borderId="0" xfId="0" applyFont="1"/>
    <xf numFmtId="0" fontId="16" fillId="14" borderId="4" xfId="0" applyFont="1" applyFill="1" applyBorder="1"/>
    <xf numFmtId="0" fontId="0" fillId="10" borderId="4" xfId="0" applyFill="1" applyBorder="1" applyAlignment="1">
      <alignment horizontal="left"/>
    </xf>
    <xf numFmtId="0" fontId="16" fillId="15" borderId="4" xfId="0" applyFont="1" applyFill="1" applyBorder="1"/>
    <xf numFmtId="0" fontId="0" fillId="10" borderId="0" xfId="0" applyFill="1"/>
    <xf numFmtId="0" fontId="13" fillId="21" borderId="13" xfId="0" applyFont="1" applyFill="1" applyBorder="1"/>
    <xf numFmtId="0" fontId="13" fillId="21" borderId="14" xfId="0" applyFont="1" applyFill="1" applyBorder="1"/>
    <xf numFmtId="0" fontId="13" fillId="21" borderId="15" xfId="0" applyFont="1" applyFill="1" applyBorder="1"/>
    <xf numFmtId="0" fontId="31" fillId="22" borderId="9" xfId="0" applyFont="1" applyFill="1" applyBorder="1"/>
    <xf numFmtId="0" fontId="31" fillId="22" borderId="4" xfId="0" applyFont="1" applyFill="1" applyBorder="1"/>
    <xf numFmtId="0" fontId="31" fillId="22" borderId="8" xfId="0" applyFont="1" applyFill="1" applyBorder="1"/>
    <xf numFmtId="0" fontId="31" fillId="22" borderId="16" xfId="0" applyFont="1" applyFill="1" applyBorder="1"/>
    <xf numFmtId="0" fontId="31" fillId="22" borderId="17" xfId="0" applyFont="1" applyFill="1" applyBorder="1"/>
    <xf numFmtId="0" fontId="31" fillId="22" borderId="18" xfId="0" applyFont="1" applyFill="1" applyBorder="1"/>
    <xf numFmtId="0" fontId="32" fillId="22" borderId="2" xfId="0" applyFont="1" applyFill="1" applyBorder="1" applyAlignment="1">
      <alignment horizontal="left" vertical="center" wrapText="1" indent="1"/>
    </xf>
    <xf numFmtId="0" fontId="33" fillId="22" borderId="2" xfId="0" applyFont="1" applyFill="1" applyBorder="1" applyAlignment="1">
      <alignment horizontal="left" vertical="center" wrapText="1"/>
    </xf>
    <xf numFmtId="0" fontId="33" fillId="22" borderId="2" xfId="0" applyFont="1" applyFill="1" applyBorder="1" applyAlignment="1">
      <alignment horizontal="left" vertical="center" indent="1"/>
    </xf>
    <xf numFmtId="0" fontId="32" fillId="22" borderId="2" xfId="0" applyFont="1" applyFill="1" applyBorder="1" applyAlignment="1">
      <alignment horizontal="left" vertical="center" indent="1"/>
    </xf>
    <xf numFmtId="0" fontId="33" fillId="22" borderId="5" xfId="0" applyFont="1" applyFill="1" applyBorder="1" applyAlignment="1">
      <alignment horizontal="left" vertical="center" wrapText="1"/>
    </xf>
    <xf numFmtId="164" fontId="33" fillId="22" borderId="2" xfId="0" applyNumberFormat="1" applyFont="1" applyFill="1" applyBorder="1" applyAlignment="1">
      <alignment horizontal="left" vertical="center" indent="1"/>
    </xf>
    <xf numFmtId="0" fontId="33" fillId="22" borderId="6" xfId="0" applyFont="1" applyFill="1" applyBorder="1" applyAlignment="1">
      <alignment horizontal="left" vertical="center" indent="1"/>
    </xf>
    <xf numFmtId="0" fontId="30" fillId="22" borderId="0" xfId="0" applyFont="1" applyFill="1"/>
    <xf numFmtId="0" fontId="32" fillId="22" borderId="10" xfId="0" applyFont="1" applyFill="1" applyBorder="1" applyAlignment="1">
      <alignment horizontal="center" vertical="center"/>
    </xf>
    <xf numFmtId="0" fontId="32" fillId="22" borderId="7" xfId="0" applyFont="1" applyFill="1" applyBorder="1" applyAlignment="1">
      <alignment horizontal="left" vertical="center" indent="1"/>
    </xf>
    <xf numFmtId="0" fontId="33" fillId="22" borderId="2" xfId="0" applyFont="1" applyFill="1" applyBorder="1" applyAlignment="1">
      <alignment horizontal="left" vertical="center" wrapText="1" indent="1"/>
    </xf>
    <xf numFmtId="0" fontId="32" fillId="22" borderId="0" xfId="0" applyFont="1" applyFill="1" applyAlignment="1">
      <alignment horizontal="left" vertical="center" indent="1"/>
    </xf>
    <xf numFmtId="0" fontId="33" fillId="22" borderId="0" xfId="0" applyFont="1" applyFill="1" applyAlignment="1">
      <alignment horizontal="left" vertical="center" wrapText="1"/>
    </xf>
    <xf numFmtId="0" fontId="33" fillId="22" borderId="0" xfId="0" applyFont="1" applyFill="1" applyAlignment="1">
      <alignment horizontal="left" vertical="center" indent="1"/>
    </xf>
    <xf numFmtId="0" fontId="3" fillId="11" borderId="1" xfId="0" applyFont="1" applyFill="1" applyBorder="1" applyAlignment="1">
      <alignment horizontal="center" vertical="center"/>
    </xf>
    <xf numFmtId="0" fontId="14" fillId="0" borderId="17" xfId="0" applyFont="1" applyBorder="1"/>
    <xf numFmtId="0" fontId="31" fillId="22" borderId="14" xfId="0" applyFont="1" applyFill="1" applyBorder="1"/>
    <xf numFmtId="0" fontId="13" fillId="21" borderId="4" xfId="0" applyFont="1" applyFill="1" applyBorder="1"/>
    <xf numFmtId="0" fontId="32" fillId="22" borderId="0" xfId="0" applyFont="1" applyFill="1" applyAlignment="1">
      <alignment horizontal="center" vertical="center"/>
    </xf>
    <xf numFmtId="14" fontId="33" fillId="22" borderId="2" xfId="0" applyNumberFormat="1" applyFont="1" applyFill="1" applyBorder="1" applyAlignment="1">
      <alignment horizontal="left" vertical="center" indent="1"/>
    </xf>
    <xf numFmtId="0" fontId="10" fillId="7" borderId="3" xfId="0" applyFont="1" applyFill="1" applyBorder="1" applyAlignment="1">
      <alignment horizontal="center" vertical="center" wrapText="1"/>
    </xf>
    <xf numFmtId="0" fontId="35" fillId="0" borderId="0" xfId="0" applyFont="1" applyAlignment="1">
      <alignment horizontal="left" vertical="center"/>
    </xf>
    <xf numFmtId="0" fontId="31" fillId="22" borderId="4" xfId="0" applyFont="1" applyFill="1" applyBorder="1" applyAlignment="1">
      <alignment vertical="top" wrapText="1"/>
    </xf>
    <xf numFmtId="0" fontId="36" fillId="0" borderId="0" xfId="0" applyFont="1" applyAlignment="1">
      <alignment horizontal="left" vertical="center"/>
    </xf>
    <xf numFmtId="0" fontId="14" fillId="10" borderId="4" xfId="0" applyFont="1" applyFill="1" applyBorder="1"/>
    <xf numFmtId="0" fontId="14" fillId="23" borderId="4" xfId="0" applyFont="1" applyFill="1" applyBorder="1"/>
    <xf numFmtId="0" fontId="0" fillId="23" borderId="4" xfId="0" applyFill="1" applyBorder="1" applyAlignment="1">
      <alignment horizontal="left" vertical="center"/>
    </xf>
    <xf numFmtId="14" fontId="33" fillId="22" borderId="2" xfId="0" applyNumberFormat="1" applyFont="1" applyFill="1" applyBorder="1" applyAlignment="1">
      <alignment horizontal="left" vertical="center" wrapText="1" indent="1"/>
    </xf>
    <xf numFmtId="0" fontId="32" fillId="22" borderId="5" xfId="0" applyFont="1" applyFill="1" applyBorder="1" applyAlignment="1">
      <alignment horizontal="center" vertical="center"/>
    </xf>
    <xf numFmtId="0" fontId="32" fillId="22" borderId="10" xfId="0" applyFont="1" applyFill="1" applyBorder="1" applyAlignment="1">
      <alignment horizontal="center" vertical="center"/>
    </xf>
    <xf numFmtId="0" fontId="2" fillId="21" borderId="12" xfId="0" applyFont="1" applyFill="1" applyBorder="1" applyAlignment="1">
      <alignment horizontal="center" vertical="center"/>
    </xf>
    <xf numFmtId="0" fontId="2" fillId="21" borderId="11" xfId="0" applyFont="1" applyFill="1" applyBorder="1" applyAlignment="1">
      <alignment horizontal="center" vertical="center"/>
    </xf>
    <xf numFmtId="0" fontId="34" fillId="21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3" fillId="21" borderId="19" xfId="0" applyFont="1" applyFill="1" applyBorder="1" applyAlignment="1">
      <alignment horizontal="center" vertical="center"/>
    </xf>
    <xf numFmtId="0" fontId="3" fillId="21" borderId="20" xfId="0" applyFont="1" applyFill="1" applyBorder="1" applyAlignment="1">
      <alignment horizontal="center" vertical="center"/>
    </xf>
    <xf numFmtId="0" fontId="20" fillId="21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0" borderId="17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23" borderId="17" xfId="0" applyFill="1" applyBorder="1" applyAlignment="1">
      <alignment horizontal="left" vertical="center"/>
    </xf>
    <xf numFmtId="0" fontId="0" fillId="23" borderId="14" xfId="0" applyFill="1" applyBorder="1" applyAlignment="1">
      <alignment horizontal="left" vertical="center"/>
    </xf>
    <xf numFmtId="0" fontId="0" fillId="23" borderId="22" xfId="0" applyFill="1" applyBorder="1" applyAlignment="1">
      <alignment horizontal="left" vertical="center"/>
    </xf>
    <xf numFmtId="0" fontId="0" fillId="23" borderId="17" xfId="0" applyFill="1" applyBorder="1" applyAlignment="1">
      <alignment horizontal="left" vertical="center" wrapText="1"/>
    </xf>
    <xf numFmtId="0" fontId="0" fillId="23" borderId="22" xfId="0" applyFill="1" applyBorder="1" applyAlignment="1">
      <alignment horizontal="left" vertical="center" wrapText="1"/>
    </xf>
    <xf numFmtId="0" fontId="0" fillId="23" borderId="14" xfId="0" applyFill="1" applyBorder="1" applyAlignment="1">
      <alignment horizontal="left" vertical="center" wrapText="1"/>
    </xf>
    <xf numFmtId="0" fontId="20" fillId="9" borderId="0" xfId="0" applyFont="1" applyFill="1"/>
    <xf numFmtId="0" fontId="0" fillId="0" borderId="0" xfId="0"/>
    <xf numFmtId="0" fontId="20" fillId="13" borderId="0" xfId="0" applyFont="1" applyFill="1"/>
    <xf numFmtId="0" fontId="20" fillId="12" borderId="0" xfId="0" applyFont="1" applyFill="1"/>
    <xf numFmtId="0" fontId="20" fillId="11" borderId="0" xfId="0" applyFont="1" applyFill="1"/>
    <xf numFmtId="0" fontId="29" fillId="20" borderId="0" xfId="0" applyFont="1" applyFill="1"/>
    <xf numFmtId="0" fontId="28" fillId="19" borderId="0" xfId="0" applyFont="1" applyFill="1"/>
    <xf numFmtId="0" fontId="27" fillId="18" borderId="8" xfId="0" applyFont="1" applyFill="1" applyBorder="1"/>
    <xf numFmtId="0" fontId="26" fillId="0" borderId="21" xfId="0" applyFont="1" applyBorder="1"/>
    <xf numFmtId="0" fontId="26" fillId="0" borderId="9" xfId="0" applyFont="1" applyBorder="1"/>
    <xf numFmtId="0" fontId="25" fillId="0" borderId="0" xfId="0" applyFont="1"/>
    <xf numFmtId="0" fontId="24" fillId="17" borderId="0" xfId="0" applyFont="1" applyFill="1"/>
    <xf numFmtId="0" fontId="20" fillId="16" borderId="0" xfId="0" applyFont="1" applyFill="1"/>
  </cellXfs>
  <cellStyles count="2">
    <cellStyle name="Normal" xfId="0" builtinId="0"/>
    <cellStyle name="Normal 2" xfId="1" xr:uid="{101D34EB-4DB3-42E7-9AF9-173B6A73B68B}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minor"/>
      </font>
      <fill>
        <patternFill patternType="solid">
          <fgColor indexed="64"/>
          <bgColor rgb="FF0000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FC99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23</xdr:row>
          <xdr:rowOff>123825</xdr:rowOff>
        </xdr:from>
        <xdr:to>
          <xdr:col>3</xdr:col>
          <xdr:colOff>2476500</xdr:colOff>
          <xdr:row>26</xdr:row>
          <xdr:rowOff>28575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Brief Structure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ED3191-B0FE-4605-A68D-81F45B86A235}" name="Tabella1" displayName="Tabella1" ref="H2:S12" totalsRowShown="0" headerRowDxfId="16" dataDxfId="14" headerRowBorderDxfId="15" tableBorderDxfId="13" totalsRowBorderDxfId="12">
  <autoFilter ref="H2:S12" xr:uid="{85ED3191-B0FE-4605-A68D-81F45B86A235}"/>
  <tableColumns count="12">
    <tableColumn id="1" xr3:uid="{D55E03A1-95EB-4769-B818-D1636082A038}" name="CAMPAIGN_TYPE" dataDxfId="11"/>
    <tableColumn id="2" xr3:uid="{732D3E37-0F2E-4489-81E9-58E480FCF42A}" name="ADHOC_SUBTYPE" dataDxfId="10"/>
    <tableColumn id="3" xr3:uid="{DD1669FA-9A1E-4B8B-9F66-E752C749850A}" name="ADHOC_CATEGORY" dataDxfId="9"/>
    <tableColumn id="4" xr3:uid="{477575FB-9116-454A-B9B6-52DEE435E6FD}" name="CHANNELS" dataDxfId="8"/>
    <tableColumn id="5" xr3:uid="{79A120CA-CE29-456A-BF88-728BC7808AD8}" name="AUTO_TYPE" dataDxfId="7"/>
    <tableColumn id="6" xr3:uid="{A6715774-B757-472B-9D2B-49A3FA27D428}" name="AUTO_CATEGORY" dataDxfId="6"/>
    <tableColumn id="7" xr3:uid="{44C59B5A-41F2-495D-B19E-DE8BF16FC84D}" name="AUTO_CUSTOMER" dataDxfId="5"/>
    <tableColumn id="8" xr3:uid="{7C6FFCAE-449B-433E-830E-8805514D53A0}" name="AUTO_TOUCHPOINT" dataDxfId="4"/>
    <tableColumn id="9" xr3:uid="{E29FE6CD-5F87-4571-B042-EB3DAC406882}" name="SEASONS" dataDxfId="3"/>
    <tableColumn id="10" xr3:uid="{1074433C-3628-4E69-99A5-8C83504DBAE3}" name="COUNTRIES" dataDxfId="2"/>
    <tableColumn id="11" xr3:uid="{8105DBDD-2BC7-4A4C-ACE7-904F99796F36}" name="TARGETS" dataDxfId="1"/>
    <tableColumn id="12" xr3:uid="{0649F38A-12D1-493D-8CBE-280513A2F479}" name="Category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brand.com/875638sn479" TargetMode="External"/><Relationship Id="rId2" Type="http://schemas.openxmlformats.org/officeDocument/2006/relationships/hyperlink" Target="https://brand.com/875638sn479" TargetMode="External"/><Relationship Id="rId1" Type="http://schemas.openxmlformats.org/officeDocument/2006/relationships/hyperlink" Target="https://brand.com/new-collec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6C66C-BF01-4A92-96D7-DD3FCE8D3A7A}">
  <sheetPr codeName="Foglio1"/>
  <dimension ref="B1:D35"/>
  <sheetViews>
    <sheetView showGridLines="0" zoomScale="69" zoomScaleNormal="85" workbookViewId="0">
      <pane ySplit="1" topLeftCell="A6" activePane="bottomLeft" state="frozen"/>
      <selection activeCell="H26" sqref="H26"/>
      <selection pane="bottomLeft" activeCell="W20" sqref="W20"/>
    </sheetView>
  </sheetViews>
  <sheetFormatPr defaultRowHeight="15" x14ac:dyDescent="0.25"/>
  <cols>
    <col min="1" max="1" width="2.42578125" customWidth="1"/>
    <col min="2" max="2" width="28" customWidth="1"/>
    <col min="3" max="3" width="35" customWidth="1"/>
    <col min="4" max="4" width="37.42578125" customWidth="1"/>
    <col min="5" max="5" width="11.5703125" customWidth="1"/>
  </cols>
  <sheetData>
    <row r="1" spans="2:4" ht="30" customHeight="1" x14ac:dyDescent="0.25">
      <c r="B1" s="73" t="s">
        <v>0</v>
      </c>
      <c r="C1" s="74"/>
      <c r="D1" s="74"/>
    </row>
    <row r="2" spans="2:4" ht="24.95" customHeight="1" thickBot="1" x14ac:dyDescent="0.3">
      <c r="B2" s="55" t="s">
        <v>1</v>
      </c>
      <c r="C2" s="55" t="s">
        <v>2</v>
      </c>
      <c r="D2" s="55" t="s">
        <v>3</v>
      </c>
    </row>
    <row r="3" spans="2:4" ht="24.95" customHeight="1" x14ac:dyDescent="0.25">
      <c r="B3" s="41" t="s">
        <v>4</v>
      </c>
      <c r="C3" s="42" t="s">
        <v>5</v>
      </c>
      <c r="D3" s="43" t="s">
        <v>6</v>
      </c>
    </row>
    <row r="4" spans="2:4" ht="24.95" customHeight="1" x14ac:dyDescent="0.25">
      <c r="B4" s="41" t="s">
        <v>7</v>
      </c>
      <c r="C4" s="42" t="s">
        <v>8</v>
      </c>
      <c r="D4" s="43" t="s">
        <v>9</v>
      </c>
    </row>
    <row r="5" spans="2:4" ht="24.95" customHeight="1" x14ac:dyDescent="0.25">
      <c r="B5" s="44" t="s">
        <v>10</v>
      </c>
      <c r="C5" s="45" t="s">
        <v>11</v>
      </c>
      <c r="D5" s="43" t="s">
        <v>12</v>
      </c>
    </row>
    <row r="6" spans="2:4" ht="24.95" customHeight="1" x14ac:dyDescent="0.25">
      <c r="B6" s="44" t="s">
        <v>13</v>
      </c>
      <c r="C6" s="45" t="s">
        <v>14</v>
      </c>
      <c r="D6" s="43" t="s">
        <v>167</v>
      </c>
    </row>
    <row r="7" spans="2:4" ht="24.95" customHeight="1" x14ac:dyDescent="0.25">
      <c r="B7" s="44" t="s">
        <v>16</v>
      </c>
      <c r="C7" s="45" t="s">
        <v>17</v>
      </c>
      <c r="D7" s="43"/>
    </row>
    <row r="8" spans="2:4" ht="24.95" customHeight="1" x14ac:dyDescent="0.25">
      <c r="B8" s="44"/>
      <c r="C8" s="45" t="s">
        <v>19</v>
      </c>
      <c r="D8" s="43"/>
    </row>
    <row r="9" spans="2:4" ht="24.95" customHeight="1" x14ac:dyDescent="0.25">
      <c r="B9" s="44"/>
      <c r="C9" s="45" t="s">
        <v>20</v>
      </c>
      <c r="D9" s="43"/>
    </row>
    <row r="10" spans="2:4" ht="24.95" customHeight="1" x14ac:dyDescent="0.25">
      <c r="B10" s="44"/>
      <c r="C10" s="45" t="s">
        <v>21</v>
      </c>
      <c r="D10" s="43"/>
    </row>
    <row r="11" spans="2:4" ht="24.95" customHeight="1" x14ac:dyDescent="0.25">
      <c r="B11" s="44"/>
      <c r="C11" s="45" t="s">
        <v>22</v>
      </c>
      <c r="D11" s="43"/>
    </row>
    <row r="12" spans="2:4" ht="24.95" customHeight="1" x14ac:dyDescent="0.25">
      <c r="B12" s="44"/>
      <c r="C12" s="45" t="s">
        <v>23</v>
      </c>
      <c r="D12" s="43"/>
    </row>
    <row r="13" spans="2:4" ht="24.95" customHeight="1" x14ac:dyDescent="0.25">
      <c r="B13" s="44"/>
      <c r="C13" s="45" t="s">
        <v>24</v>
      </c>
      <c r="D13" s="43"/>
    </row>
    <row r="14" spans="2:4" ht="24.95" customHeight="1" x14ac:dyDescent="0.25">
      <c r="B14" s="44"/>
      <c r="C14" s="45" t="s">
        <v>25</v>
      </c>
      <c r="D14" s="43" t="s">
        <v>18</v>
      </c>
    </row>
    <row r="15" spans="2:4" ht="24.95" customHeight="1" x14ac:dyDescent="0.25">
      <c r="B15" s="44"/>
      <c r="C15" s="45" t="s">
        <v>26</v>
      </c>
      <c r="D15" s="43"/>
    </row>
    <row r="16" spans="2:4" ht="24.95" customHeight="1" x14ac:dyDescent="0.25">
      <c r="B16" s="44" t="s">
        <v>27</v>
      </c>
      <c r="C16" s="45" t="s">
        <v>28</v>
      </c>
      <c r="D16" s="46">
        <v>46217</v>
      </c>
    </row>
    <row r="17" spans="2:4" ht="24.95" customHeight="1" x14ac:dyDescent="0.25">
      <c r="B17" s="44" t="s">
        <v>29</v>
      </c>
      <c r="C17" s="42" t="s">
        <v>30</v>
      </c>
      <c r="D17" s="47" t="s">
        <v>399</v>
      </c>
    </row>
    <row r="18" spans="2:4" ht="24.95" customHeight="1" x14ac:dyDescent="0.25">
      <c r="B18" s="44" t="s">
        <v>31</v>
      </c>
      <c r="C18" s="42"/>
      <c r="D18" s="47" t="s">
        <v>156</v>
      </c>
    </row>
    <row r="19" spans="2:4" ht="24.95" customHeight="1" x14ac:dyDescent="0.25">
      <c r="B19" s="44" t="s">
        <v>32</v>
      </c>
      <c r="C19" s="42" t="s">
        <v>33</v>
      </c>
      <c r="D19" s="47" t="str" cm="1">
        <f t="array" ref="D19">_xlfn.TEXTJOIN(", ",TRUE,IF(C25:C35="Activate",Settings!C3:C13,""))</f>
        <v>EN</v>
      </c>
    </row>
    <row r="20" spans="2:4" ht="50.1" customHeight="1" x14ac:dyDescent="0.25">
      <c r="B20" s="44" t="s">
        <v>34</v>
      </c>
      <c r="C20" s="42"/>
      <c r="D20" s="43" t="s">
        <v>400</v>
      </c>
    </row>
    <row r="21" spans="2:4" ht="30" customHeight="1" x14ac:dyDescent="0.25">
      <c r="B21" s="52"/>
      <c r="C21" s="53"/>
      <c r="D21" s="54"/>
    </row>
    <row r="22" spans="2:4" ht="30" customHeight="1" x14ac:dyDescent="0.25"/>
    <row r="23" spans="2:4" ht="30" customHeight="1" x14ac:dyDescent="0.25"/>
    <row r="24" spans="2:4" ht="30" customHeight="1" thickBot="1" x14ac:dyDescent="0.3">
      <c r="B24" s="75" t="s">
        <v>35</v>
      </c>
      <c r="C24" s="76"/>
      <c r="D24" s="48"/>
    </row>
    <row r="25" spans="2:4" ht="24.95" customHeight="1" x14ac:dyDescent="0.25">
      <c r="B25" s="44" t="str" cm="1">
        <f t="array" ref="B25:B35">Settings!B3:B13</f>
        <v>English → EN</v>
      </c>
      <c r="C25" s="43" t="s">
        <v>18</v>
      </c>
      <c r="D25" s="48"/>
    </row>
    <row r="26" spans="2:4" ht="24.95" customHeight="1" x14ac:dyDescent="0.25">
      <c r="B26" s="44" t="str">
        <v>Italian → IT</v>
      </c>
      <c r="C26" s="43"/>
      <c r="D26" s="48"/>
    </row>
    <row r="27" spans="2:4" ht="24.95" customHeight="1" x14ac:dyDescent="0.25">
      <c r="B27" s="44" t="str">
        <v>French → FR</v>
      </c>
      <c r="C27" s="43"/>
      <c r="D27" s="48"/>
    </row>
    <row r="28" spans="2:4" ht="24.95" customHeight="1" x14ac:dyDescent="0.25">
      <c r="B28" s="44" t="str">
        <v>Spanish → ES</v>
      </c>
      <c r="C28" s="43"/>
      <c r="D28" s="48"/>
    </row>
    <row r="29" spans="2:4" ht="24.95" customHeight="1" x14ac:dyDescent="0.25">
      <c r="B29" s="44" t="str">
        <v>Spanish (Mexico) → MX</v>
      </c>
      <c r="C29" s="43"/>
      <c r="D29" s="48"/>
    </row>
    <row r="30" spans="2:4" ht="24.95" customHeight="1" x14ac:dyDescent="0.25">
      <c r="B30" s="44" t="str">
        <v>Portuguese → PT</v>
      </c>
      <c r="C30" s="43"/>
      <c r="D30" s="48"/>
    </row>
    <row r="31" spans="2:4" ht="24.95" customHeight="1" x14ac:dyDescent="0.25">
      <c r="B31" s="44" t="str">
        <v>Japanese → JP</v>
      </c>
      <c r="C31" s="43"/>
      <c r="D31" s="48"/>
    </row>
    <row r="32" spans="2:4" ht="24.95" customHeight="1" x14ac:dyDescent="0.25">
      <c r="B32" s="44" t="str">
        <v>Korean → KO</v>
      </c>
      <c r="C32" s="43"/>
      <c r="D32" s="48"/>
    </row>
    <row r="33" spans="2:4" ht="24.95" customHeight="1" x14ac:dyDescent="0.25">
      <c r="B33" s="44" t="str">
        <v>Simplified Chinese → ZHS</v>
      </c>
      <c r="C33" s="43"/>
      <c r="D33" s="48"/>
    </row>
    <row r="34" spans="2:4" ht="24.95" customHeight="1" x14ac:dyDescent="0.25">
      <c r="B34" s="44" t="str">
        <v>Traditional Chinese → ZHT</v>
      </c>
      <c r="C34" s="43"/>
      <c r="D34" s="48"/>
    </row>
    <row r="35" spans="2:4" ht="24.95" customHeight="1" x14ac:dyDescent="0.25">
      <c r="B35" s="44" t="str">
        <v>Thailand → TH</v>
      </c>
      <c r="C35" s="43"/>
      <c r="D35" s="48"/>
    </row>
  </sheetData>
  <mergeCells count="2">
    <mergeCell ref="B1:D1"/>
    <mergeCell ref="B24:C24"/>
  </mergeCells>
  <dataValidations count="1">
    <dataValidation type="list" allowBlank="1" showInputMessage="1" showErrorMessage="1" sqref="D7:D15 C25:C35" xr:uid="{07BFDE54-83E3-47F2-A128-C0833C7FF619}">
      <formula1>",Activate"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CreaCampaignBrief">
                <anchor moveWithCells="1" sizeWithCells="1">
                  <from>
                    <xdr:col>3</xdr:col>
                    <xdr:colOff>504825</xdr:colOff>
                    <xdr:row>23</xdr:row>
                    <xdr:rowOff>123825</xdr:rowOff>
                  </from>
                  <to>
                    <xdr:col>3</xdr:col>
                    <xdr:colOff>2476500</xdr:colOff>
                    <xdr:row>26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897606D-061D-4608-ADFA-9B0672FD9559}">
          <x14:formula1>
            <xm:f>Settings!$J$3:$J$4</xm:f>
          </x14:formula1>
          <xm:sqref>D6</xm:sqref>
        </x14:dataValidation>
        <x14:dataValidation type="list" allowBlank="1" showInputMessage="1" showErrorMessage="1" xr:uid="{3F3DB1D1-4EC6-45F4-AFBA-898430A162B9}">
          <x14:formula1>
            <xm:f>Settings!$I$3:$I$5</xm:f>
          </x14:formula1>
          <xm:sqref>D5</xm:sqref>
        </x14:dataValidation>
        <x14:dataValidation type="list" allowBlank="1" showInputMessage="1" showErrorMessage="1" xr:uid="{279E3CFA-E59D-4E15-92E7-148DE4DF1EB3}">
          <x14:formula1>
            <xm:f>Settings!$H$3:$H$7</xm:f>
          </x14:formula1>
          <xm:sqref>D4</xm:sqref>
        </x14:dataValidation>
        <x14:dataValidation type="list" allowBlank="1" showInputMessage="1" showErrorMessage="1" xr:uid="{23BD5115-CD01-467D-BCBE-F576484E494A}">
          <x14:formula1>
            <xm:f>Settings!$P$3:$P$6</xm:f>
          </x14:formula1>
          <xm:sqref>D18</xm:sqref>
        </x14:dataValidation>
        <x14:dataValidation type="list" allowBlank="1" showInputMessage="1" showErrorMessage="1" xr:uid="{9C01E655-26C3-47F6-98BA-617E7A509A61}">
          <x14:formula1>
            <xm:f>Settings!$A$3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/>
  <dimension ref="A1:C8"/>
  <sheetViews>
    <sheetView showGridLines="0" zoomScale="101" workbookViewId="0">
      <pane ySplit="1" topLeftCell="A2" activePane="bottomLeft" state="frozen"/>
      <selection activeCell="H38" sqref="H38:H47"/>
      <selection pane="bottomLeft" activeCell="A8" sqref="A8"/>
    </sheetView>
  </sheetViews>
  <sheetFormatPr defaultColWidth="8.5703125" defaultRowHeight="15" x14ac:dyDescent="0.25"/>
  <cols>
    <col min="1" max="1" width="20.85546875" customWidth="1"/>
    <col min="2" max="3" width="40.5703125" customWidth="1"/>
  </cols>
  <sheetData>
    <row r="1" spans="1:3" ht="20.100000000000001" customHeight="1" x14ac:dyDescent="0.25">
      <c r="A1" s="71" t="s">
        <v>19</v>
      </c>
      <c r="B1" s="71"/>
      <c r="C1" s="71"/>
    </row>
    <row r="2" spans="1:3" ht="30" customHeight="1" x14ac:dyDescent="0.25">
      <c r="A2" s="44" t="s">
        <v>29</v>
      </c>
      <c r="B2" s="69" t="str">
        <f>_xlfn.CONCAT(Common!D4,"_",Common!D5,"_",Common!D6,"_",Common!C8,"_",YEAR(Common!D16),TEXT(MONTH(Common!D16),"00"),TEXT(DAY(Common!D16),"00"),"_",Common!D17)</f>
        <v>ADHOC_GLOBAL_OTO_SMS_20260714_Le7BowlingBag</v>
      </c>
      <c r="C2" s="70"/>
    </row>
    <row r="3" spans="1:3" ht="20.100000000000001" customHeight="1" x14ac:dyDescent="0.25">
      <c r="A3" s="74" t="s">
        <v>36</v>
      </c>
      <c r="B3" s="77"/>
      <c r="C3" s="77"/>
    </row>
    <row r="4" spans="1:3" ht="30" customHeight="1" x14ac:dyDescent="0.25">
      <c r="A4" s="44" t="s">
        <v>37</v>
      </c>
      <c r="B4" s="69" t="s">
        <v>38</v>
      </c>
      <c r="C4" s="70"/>
    </row>
    <row r="5" spans="1:3" ht="20.100000000000001" customHeight="1" x14ac:dyDescent="0.25">
      <c r="A5" s="74" t="s">
        <v>39</v>
      </c>
      <c r="B5" s="77"/>
      <c r="C5" s="77"/>
    </row>
    <row r="6" spans="1:3" ht="20.100000000000001" customHeight="1" thickBot="1" x14ac:dyDescent="0.3">
      <c r="A6" s="55" t="s">
        <v>1</v>
      </c>
      <c r="B6" s="55" t="s">
        <v>2</v>
      </c>
      <c r="C6" s="55" t="s">
        <v>3</v>
      </c>
    </row>
    <row r="7" spans="1:3" ht="30" customHeight="1" x14ac:dyDescent="0.25">
      <c r="A7" s="44" t="s">
        <v>40</v>
      </c>
      <c r="B7" s="42" t="s">
        <v>41</v>
      </c>
      <c r="C7" s="43" t="s">
        <v>42</v>
      </c>
    </row>
    <row r="8" spans="1:3" ht="30" customHeight="1" x14ac:dyDescent="0.25">
      <c r="A8" s="64" t="s">
        <v>43</v>
      </c>
      <c r="B8" s="62" t="s">
        <v>44</v>
      </c>
    </row>
  </sheetData>
  <mergeCells count="5">
    <mergeCell ref="A5:C5"/>
    <mergeCell ref="A3:C3"/>
    <mergeCell ref="A1:C1"/>
    <mergeCell ref="B2:C2"/>
    <mergeCell ref="B4:C4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5"/>
  <dimension ref="A1:C10"/>
  <sheetViews>
    <sheetView showGridLines="0" workbookViewId="0">
      <pane ySplit="2" topLeftCell="A3" activePane="bottomLeft" state="frozen"/>
      <selection activeCell="H38" sqref="H38:H47"/>
      <selection pane="bottomLeft" activeCell="B13" sqref="B13"/>
    </sheetView>
  </sheetViews>
  <sheetFormatPr defaultRowHeight="15" x14ac:dyDescent="0.25"/>
  <cols>
    <col min="1" max="3" width="40.5703125" customWidth="1"/>
  </cols>
  <sheetData>
    <row r="1" spans="1:3" ht="20.100000000000001" customHeight="1" x14ac:dyDescent="0.25">
      <c r="A1" s="71" t="s">
        <v>45</v>
      </c>
      <c r="B1" s="71"/>
      <c r="C1" s="71"/>
    </row>
    <row r="2" spans="1:3" ht="30" customHeight="1" x14ac:dyDescent="0.25">
      <c r="A2" s="44" t="s">
        <v>29</v>
      </c>
      <c r="B2" s="69" t="str">
        <f>_xlfn.CONCAT(Common!D4,"_",Common!D5,"_",Common!D6,"_",Common!C9,"_",YEAR(Common!D16),TEXT(MONTH(Common!D16),"00"),TEXT(DAY(Common!D16),"00"),"_",Common!D17)</f>
        <v>ADHOC_GLOBAL_OTO_VMS _20260714_Le7BowlingBag</v>
      </c>
      <c r="C2" s="70"/>
    </row>
    <row r="3" spans="1:3" ht="20.100000000000001" customHeight="1" x14ac:dyDescent="0.25">
      <c r="A3" s="74" t="s">
        <v>36</v>
      </c>
      <c r="B3" s="77"/>
      <c r="C3" s="77"/>
    </row>
    <row r="4" spans="1:3" ht="30" customHeight="1" x14ac:dyDescent="0.25">
      <c r="A4" s="44" t="s">
        <v>36</v>
      </c>
      <c r="B4" s="69" t="s">
        <v>38</v>
      </c>
      <c r="C4" s="70"/>
    </row>
    <row r="5" spans="1:3" ht="20.100000000000001" customHeight="1" x14ac:dyDescent="0.25">
      <c r="A5" s="74" t="s">
        <v>39</v>
      </c>
      <c r="B5" s="77"/>
      <c r="C5" s="77"/>
    </row>
    <row r="6" spans="1:3" ht="20.100000000000001" customHeight="1" thickBot="1" x14ac:dyDescent="0.3">
      <c r="A6" s="55" t="s">
        <v>1</v>
      </c>
      <c r="B6" s="55" t="s">
        <v>2</v>
      </c>
      <c r="C6" s="55" t="s">
        <v>3</v>
      </c>
    </row>
    <row r="7" spans="1:3" ht="30" customHeight="1" x14ac:dyDescent="0.25">
      <c r="A7" s="44" t="s">
        <v>40</v>
      </c>
      <c r="B7" s="42" t="s">
        <v>46</v>
      </c>
      <c r="C7" s="43" t="s">
        <v>47</v>
      </c>
    </row>
    <row r="8" spans="1:3" ht="30" customHeight="1" x14ac:dyDescent="0.25">
      <c r="A8" s="44" t="s">
        <v>48</v>
      </c>
      <c r="B8" s="42" t="s">
        <v>49</v>
      </c>
      <c r="C8" s="43" t="s">
        <v>50</v>
      </c>
    </row>
    <row r="9" spans="1:3" ht="30" customHeight="1" x14ac:dyDescent="0.25">
      <c r="A9" s="44" t="s">
        <v>51</v>
      </c>
      <c r="B9" s="42" t="s">
        <v>52</v>
      </c>
      <c r="C9" s="43" t="s">
        <v>53</v>
      </c>
    </row>
    <row r="10" spans="1:3" ht="30" customHeight="1" x14ac:dyDescent="0.25">
      <c r="A10" s="64" t="s">
        <v>43</v>
      </c>
      <c r="B10" s="62" t="s">
        <v>54</v>
      </c>
    </row>
  </sheetData>
  <mergeCells count="5">
    <mergeCell ref="A5:C5"/>
    <mergeCell ref="A3:C3"/>
    <mergeCell ref="A1:C1"/>
    <mergeCell ref="B2:C2"/>
    <mergeCell ref="B4:C4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EF91A-55F0-42F4-B669-95E847B0FBE0}">
  <sheetPr codeName="Foglio14"/>
  <dimension ref="A1:C10"/>
  <sheetViews>
    <sheetView showGridLines="0" workbookViewId="0">
      <pane ySplit="2" topLeftCell="A3" activePane="bottomLeft" state="frozen"/>
      <selection activeCell="B16" sqref="B16"/>
      <selection pane="bottomLeft" activeCell="A10" sqref="A10"/>
    </sheetView>
  </sheetViews>
  <sheetFormatPr defaultRowHeight="15" x14ac:dyDescent="0.25"/>
  <cols>
    <col min="1" max="1" width="20.85546875" customWidth="1"/>
    <col min="2" max="3" width="40.5703125" customWidth="1"/>
  </cols>
  <sheetData>
    <row r="1" spans="1:3" ht="20.100000000000001" customHeight="1" x14ac:dyDescent="0.25">
      <c r="A1" s="71" t="s">
        <v>21</v>
      </c>
      <c r="B1" s="71"/>
      <c r="C1" s="71"/>
    </row>
    <row r="2" spans="1:3" ht="30" customHeight="1" x14ac:dyDescent="0.25">
      <c r="A2" s="44" t="s">
        <v>29</v>
      </c>
      <c r="B2" s="69" t="str">
        <f>_xlfn.CONCAT(Common!D4,"_",Common!D5,"_",Common!D6,"_",Common!C10,"_",YEAR(Common!D16),TEXT(MONTH(Common!D16),"00"),TEXT(DAY(Common!D16),"00"),"_",Common!D17)</f>
        <v>ADHOC_GLOBAL_OTO_MMS_20260714_Le7BowlingBag</v>
      </c>
      <c r="C2" s="70"/>
    </row>
    <row r="3" spans="1:3" ht="20.100000000000001" customHeight="1" x14ac:dyDescent="0.25">
      <c r="A3" s="74" t="s">
        <v>36</v>
      </c>
      <c r="B3" s="77"/>
      <c r="C3" s="77"/>
    </row>
    <row r="4" spans="1:3" ht="30" customHeight="1" x14ac:dyDescent="0.25">
      <c r="A4" s="44" t="s">
        <v>37</v>
      </c>
      <c r="B4" s="69" t="s">
        <v>38</v>
      </c>
      <c r="C4" s="70"/>
    </row>
    <row r="5" spans="1:3" ht="20.100000000000001" customHeight="1" x14ac:dyDescent="0.25">
      <c r="A5" s="74" t="s">
        <v>39</v>
      </c>
      <c r="B5" s="77"/>
      <c r="C5" s="77"/>
    </row>
    <row r="6" spans="1:3" ht="20.100000000000001" customHeight="1" thickBot="1" x14ac:dyDescent="0.3">
      <c r="A6" s="55" t="s">
        <v>1</v>
      </c>
      <c r="B6" s="55" t="s">
        <v>2</v>
      </c>
      <c r="C6" s="55" t="s">
        <v>3</v>
      </c>
    </row>
    <row r="7" spans="1:3" ht="30" customHeight="1" x14ac:dyDescent="0.25">
      <c r="A7" s="44" t="s">
        <v>40</v>
      </c>
      <c r="B7" s="42" t="s">
        <v>46</v>
      </c>
      <c r="C7" s="43" t="s">
        <v>47</v>
      </c>
    </row>
    <row r="8" spans="1:3" ht="30" customHeight="1" x14ac:dyDescent="0.25">
      <c r="A8" s="44" t="s">
        <v>48</v>
      </c>
      <c r="B8" s="42" t="s">
        <v>49</v>
      </c>
      <c r="C8" s="43" t="s">
        <v>50</v>
      </c>
    </row>
    <row r="9" spans="1:3" ht="30" customHeight="1" x14ac:dyDescent="0.25">
      <c r="A9" s="44" t="s">
        <v>51</v>
      </c>
      <c r="B9" s="42" t="s">
        <v>52</v>
      </c>
      <c r="C9" s="43" t="s">
        <v>53</v>
      </c>
    </row>
    <row r="10" spans="1:3" ht="30" customHeight="1" x14ac:dyDescent="0.25">
      <c r="A10" s="64" t="s">
        <v>43</v>
      </c>
      <c r="B10" s="62" t="s">
        <v>55</v>
      </c>
    </row>
  </sheetData>
  <mergeCells count="5">
    <mergeCell ref="A1:C1"/>
    <mergeCell ref="B2:C2"/>
    <mergeCell ref="A3:C3"/>
    <mergeCell ref="A5:C5"/>
    <mergeCell ref="B4:C4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6"/>
  <dimension ref="A1:C9"/>
  <sheetViews>
    <sheetView showGridLines="0" workbookViewId="0">
      <pane ySplit="1" topLeftCell="A2" activePane="bottomLeft" state="frozen"/>
      <selection activeCell="H38" sqref="H38:H47"/>
      <selection pane="bottomLeft" activeCell="B19" sqref="B19"/>
    </sheetView>
  </sheetViews>
  <sheetFormatPr defaultRowHeight="15" x14ac:dyDescent="0.25"/>
  <cols>
    <col min="1" max="1" width="20.85546875" customWidth="1"/>
    <col min="2" max="3" width="40.5703125" customWidth="1"/>
  </cols>
  <sheetData>
    <row r="1" spans="1:3" ht="20.100000000000001" customHeight="1" x14ac:dyDescent="0.25">
      <c r="A1" s="71" t="s">
        <v>22</v>
      </c>
      <c r="B1" s="71"/>
      <c r="C1" s="71"/>
    </row>
    <row r="2" spans="1:3" ht="30" customHeight="1" x14ac:dyDescent="0.25">
      <c r="A2" s="44" t="s">
        <v>29</v>
      </c>
      <c r="B2" s="69" t="str">
        <f>_xlfn.CONCAT(Common!D4,"_",Common!D5,"_",Common!D6,"_",Common!C11,"_",YEAR(Common!D16),TEXT(MONTH(Common!D16),"00"),TEXT(DAY(Common!D16),"00"),"_",Common!D17)</f>
        <v>ADHOC_GLOBAL_OTO_LINE_20260714_Le7BowlingBag</v>
      </c>
      <c r="C2" s="70"/>
    </row>
    <row r="3" spans="1:3" ht="20.100000000000001" customHeight="1" x14ac:dyDescent="0.25">
      <c r="A3" s="72" t="s">
        <v>36</v>
      </c>
      <c r="B3" s="72"/>
      <c r="C3" s="72"/>
    </row>
    <row r="4" spans="1:3" ht="30" customHeight="1" x14ac:dyDescent="0.25">
      <c r="A4" s="50" t="s">
        <v>37</v>
      </c>
      <c r="B4" s="69" t="s">
        <v>38</v>
      </c>
      <c r="C4" s="70"/>
    </row>
    <row r="5" spans="1:3" ht="20.100000000000001" customHeight="1" x14ac:dyDescent="0.25">
      <c r="A5" s="74" t="s">
        <v>39</v>
      </c>
      <c r="B5" s="77"/>
      <c r="C5" s="77"/>
    </row>
    <row r="6" spans="1:3" ht="20.100000000000001" customHeight="1" thickBot="1" x14ac:dyDescent="0.3">
      <c r="A6" s="55" t="s">
        <v>1</v>
      </c>
      <c r="B6" s="55" t="s">
        <v>2</v>
      </c>
      <c r="C6" s="55" t="s">
        <v>3</v>
      </c>
    </row>
    <row r="7" spans="1:3" ht="30" customHeight="1" x14ac:dyDescent="0.25">
      <c r="A7" s="44" t="s">
        <v>56</v>
      </c>
      <c r="B7" s="42" t="s">
        <v>57</v>
      </c>
      <c r="C7" s="43" t="s">
        <v>58</v>
      </c>
    </row>
    <row r="8" spans="1:3" ht="30" customHeight="1" x14ac:dyDescent="0.25">
      <c r="A8" s="44" t="s">
        <v>59</v>
      </c>
      <c r="B8" s="42" t="s">
        <v>60</v>
      </c>
      <c r="C8" s="43" t="s">
        <v>61</v>
      </c>
    </row>
    <row r="9" spans="1:3" ht="30" customHeight="1" x14ac:dyDescent="0.25">
      <c r="A9" s="44" t="s">
        <v>62</v>
      </c>
      <c r="B9" s="42" t="s">
        <v>63</v>
      </c>
      <c r="C9" s="43" t="s">
        <v>64</v>
      </c>
    </row>
  </sheetData>
  <mergeCells count="5">
    <mergeCell ref="A5:C5"/>
    <mergeCell ref="A3:C3"/>
    <mergeCell ref="A1:C1"/>
    <mergeCell ref="B2:C2"/>
    <mergeCell ref="B4:C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/>
  <dimension ref="A1:C10"/>
  <sheetViews>
    <sheetView showGridLines="0" workbookViewId="0">
      <pane ySplit="1" topLeftCell="A2" activePane="bottomLeft" state="frozen"/>
      <selection activeCell="H38" sqref="H38:H47"/>
      <selection pane="bottomLeft" activeCell="A3" sqref="A3:C3"/>
    </sheetView>
  </sheetViews>
  <sheetFormatPr defaultRowHeight="15" x14ac:dyDescent="0.25"/>
  <cols>
    <col min="1" max="3" width="40.5703125" customWidth="1"/>
  </cols>
  <sheetData>
    <row r="1" spans="1:3" ht="20.100000000000001" customHeight="1" x14ac:dyDescent="0.25">
      <c r="A1" s="71" t="s">
        <v>65</v>
      </c>
      <c r="B1" s="71"/>
      <c r="C1" s="71"/>
    </row>
    <row r="2" spans="1:3" ht="30" customHeight="1" x14ac:dyDescent="0.25">
      <c r="A2" s="44" t="s">
        <v>29</v>
      </c>
      <c r="B2" s="69" t="str">
        <f>_xlfn.CONCAT(Common!D4,"_",Common!D5,"_",Common!D6,"_",Common!C12,"_",YEAR(Common!D16),TEXT(MONTH(Common!D16),"00"),TEXT(DAY(Common!D16),"00"),"_",Common!D17)</f>
        <v>ADHOC_GLOBAL_OTO_KKT_20260714_Le7BowlingBag</v>
      </c>
      <c r="C2" s="70"/>
    </row>
    <row r="3" spans="1:3" ht="20.100000000000001" customHeight="1" x14ac:dyDescent="0.25">
      <c r="A3" s="72" t="s">
        <v>36</v>
      </c>
      <c r="B3" s="72"/>
      <c r="C3" s="72"/>
    </row>
    <row r="4" spans="1:3" ht="30" customHeight="1" x14ac:dyDescent="0.25">
      <c r="A4" s="50" t="s">
        <v>37</v>
      </c>
      <c r="B4" s="69" t="s">
        <v>38</v>
      </c>
      <c r="C4" s="70"/>
    </row>
    <row r="5" spans="1:3" ht="20.100000000000001" customHeight="1" x14ac:dyDescent="0.25">
      <c r="A5" s="74" t="s">
        <v>39</v>
      </c>
      <c r="B5" s="77"/>
      <c r="C5" s="77"/>
    </row>
    <row r="6" spans="1:3" ht="20.100000000000001" customHeight="1" thickBot="1" x14ac:dyDescent="0.3">
      <c r="A6" s="55" t="s">
        <v>1</v>
      </c>
      <c r="B6" s="55" t="s">
        <v>2</v>
      </c>
      <c r="C6" s="55" t="s">
        <v>3</v>
      </c>
    </row>
    <row r="7" spans="1:3" ht="30" customHeight="1" x14ac:dyDescent="0.25">
      <c r="A7" s="44" t="s">
        <v>66</v>
      </c>
      <c r="B7" s="42" t="s">
        <v>57</v>
      </c>
      <c r="C7" s="43" t="s">
        <v>67</v>
      </c>
    </row>
    <row r="8" spans="1:3" ht="30" customHeight="1" x14ac:dyDescent="0.25">
      <c r="A8" s="44" t="s">
        <v>68</v>
      </c>
      <c r="B8" s="42" t="s">
        <v>69</v>
      </c>
      <c r="C8" s="43" t="s">
        <v>70</v>
      </c>
    </row>
    <row r="9" spans="1:3" ht="30" customHeight="1" x14ac:dyDescent="0.25">
      <c r="A9" s="44" t="s">
        <v>71</v>
      </c>
      <c r="B9" s="42" t="s">
        <v>72</v>
      </c>
      <c r="C9" s="43" t="s">
        <v>73</v>
      </c>
    </row>
    <row r="10" spans="1:3" ht="30" customHeight="1" x14ac:dyDescent="0.25">
      <c r="A10" s="44" t="s">
        <v>74</v>
      </c>
      <c r="B10" s="42" t="s">
        <v>75</v>
      </c>
      <c r="C10" s="43" t="s">
        <v>76</v>
      </c>
    </row>
  </sheetData>
  <mergeCells count="5">
    <mergeCell ref="A5:C5"/>
    <mergeCell ref="A1:C1"/>
    <mergeCell ref="A3:C3"/>
    <mergeCell ref="B2:C2"/>
    <mergeCell ref="B4:C4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7"/>
  <dimension ref="A1:C8"/>
  <sheetViews>
    <sheetView showGridLines="0" workbookViewId="0">
      <pane ySplit="2" topLeftCell="A3" activePane="bottomLeft" state="frozen"/>
      <selection activeCell="H38" sqref="H38:H47"/>
      <selection pane="bottomLeft" activeCell="A3" sqref="A3:C3"/>
    </sheetView>
  </sheetViews>
  <sheetFormatPr defaultRowHeight="15" x14ac:dyDescent="0.25"/>
  <cols>
    <col min="1" max="3" width="40.5703125" customWidth="1"/>
  </cols>
  <sheetData>
    <row r="1" spans="1:3" ht="20.100000000000001" customHeight="1" x14ac:dyDescent="0.25">
      <c r="A1" s="71" t="s">
        <v>24</v>
      </c>
      <c r="B1" s="71"/>
      <c r="C1" s="71"/>
    </row>
    <row r="2" spans="1:3" ht="30" customHeight="1" x14ac:dyDescent="0.25">
      <c r="A2" s="44" t="s">
        <v>29</v>
      </c>
      <c r="B2" s="69" t="str">
        <f>_xlfn.CONCAT(Common!D4,"_",Common!D5,"_",Common!D6,"_",Common!C13,"_",YEAR(Common!D16),TEXT(MONTH(Common!D16),"00"),TEXT(DAY(Common!D16),"00"),"_",Common!D17)</f>
        <v>ADHOC_GLOBAL_OTO_WECHAT_20260714_Le7BowlingBag</v>
      </c>
      <c r="C2" s="70"/>
    </row>
    <row r="3" spans="1:3" ht="20.100000000000001" customHeight="1" x14ac:dyDescent="0.25">
      <c r="A3" s="72" t="s">
        <v>36</v>
      </c>
      <c r="B3" s="72"/>
      <c r="C3" s="72"/>
    </row>
    <row r="4" spans="1:3" ht="30" customHeight="1" x14ac:dyDescent="0.25">
      <c r="A4" s="50" t="s">
        <v>37</v>
      </c>
      <c r="B4" s="69" t="s">
        <v>38</v>
      </c>
      <c r="C4" s="70"/>
    </row>
    <row r="5" spans="1:3" ht="20.100000000000001" customHeight="1" x14ac:dyDescent="0.25">
      <c r="A5" s="74" t="s">
        <v>39</v>
      </c>
      <c r="B5" s="77"/>
      <c r="C5" s="77"/>
    </row>
    <row r="6" spans="1:3" ht="20.100000000000001" customHeight="1" thickBot="1" x14ac:dyDescent="0.3">
      <c r="A6" s="55" t="s">
        <v>1</v>
      </c>
      <c r="B6" s="55" t="s">
        <v>2</v>
      </c>
      <c r="C6" s="55" t="s">
        <v>3</v>
      </c>
    </row>
    <row r="7" spans="1:3" ht="30" customHeight="1" x14ac:dyDescent="0.25">
      <c r="A7" s="44" t="s">
        <v>66</v>
      </c>
      <c r="B7" s="42" t="s">
        <v>77</v>
      </c>
      <c r="C7" s="43" t="s">
        <v>78</v>
      </c>
    </row>
    <row r="8" spans="1:3" ht="30" customHeight="1" x14ac:dyDescent="0.25">
      <c r="A8" s="44" t="s">
        <v>79</v>
      </c>
      <c r="B8" s="42" t="s">
        <v>80</v>
      </c>
      <c r="C8" s="43" t="s">
        <v>81</v>
      </c>
    </row>
  </sheetData>
  <mergeCells count="5">
    <mergeCell ref="A5:C5"/>
    <mergeCell ref="A3:C3"/>
    <mergeCell ref="A1:C1"/>
    <mergeCell ref="B2:C2"/>
    <mergeCell ref="B4:C4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9"/>
  <dimension ref="A1:C13"/>
  <sheetViews>
    <sheetView showGridLines="0" zoomScaleNormal="100" workbookViewId="0">
      <pane ySplit="2" topLeftCell="A6" activePane="bottomLeft" state="frozen"/>
      <selection activeCell="H38" sqref="H38:H47"/>
      <selection pane="bottomLeft" activeCell="F8" sqref="F8"/>
    </sheetView>
  </sheetViews>
  <sheetFormatPr defaultRowHeight="15" x14ac:dyDescent="0.25"/>
  <cols>
    <col min="1" max="1" width="20.85546875" customWidth="1"/>
    <col min="2" max="3" width="40.5703125" customWidth="1"/>
  </cols>
  <sheetData>
    <row r="1" spans="1:3" ht="20.100000000000001" customHeight="1" x14ac:dyDescent="0.25">
      <c r="A1" s="71" t="s">
        <v>25</v>
      </c>
      <c r="B1" s="71"/>
      <c r="C1" s="71"/>
    </row>
    <row r="2" spans="1:3" ht="30" customHeight="1" x14ac:dyDescent="0.25">
      <c r="A2" s="44" t="s">
        <v>29</v>
      </c>
      <c r="B2" s="69" t="str">
        <f>_xlfn.CONCAT(Common!D4,"_",Common!D5,"_",Common!D6,"_",Common!C14,"_",YEAR(Common!D16),TEXT(MONTH(Common!D16),"00"),TEXT(DAY(Common!D16),"00"),"_",Common!D17)</f>
        <v>ADHOC_GLOBAL_OTO_TASK_20260714_Le7BowlingBag</v>
      </c>
      <c r="C2" s="70"/>
    </row>
    <row r="3" spans="1:3" ht="30" customHeight="1" x14ac:dyDescent="0.25">
      <c r="A3" s="52"/>
      <c r="B3" s="59"/>
      <c r="C3" s="59"/>
    </row>
    <row r="4" spans="1:3" ht="30" customHeight="1" x14ac:dyDescent="0.25"/>
    <row r="5" spans="1:3" ht="20.100000000000001" customHeight="1" x14ac:dyDescent="0.25">
      <c r="A5" s="72" t="s">
        <v>82</v>
      </c>
      <c r="B5" s="72"/>
      <c r="C5" s="72"/>
    </row>
    <row r="6" spans="1:3" ht="20.100000000000001" customHeight="1" thickBot="1" x14ac:dyDescent="0.3">
      <c r="A6" s="55" t="s">
        <v>1</v>
      </c>
      <c r="B6" s="55" t="s">
        <v>2</v>
      </c>
      <c r="C6" s="55" t="s">
        <v>3</v>
      </c>
    </row>
    <row r="7" spans="1:3" ht="30" customHeight="1" x14ac:dyDescent="0.25">
      <c r="A7" s="44" t="s">
        <v>83</v>
      </c>
      <c r="B7" s="45" t="s">
        <v>84</v>
      </c>
      <c r="C7" s="43"/>
    </row>
    <row r="8" spans="1:3" ht="30" customHeight="1" x14ac:dyDescent="0.25">
      <c r="A8" s="44" t="s">
        <v>85</v>
      </c>
      <c r="B8" s="45" t="s">
        <v>86</v>
      </c>
      <c r="C8" s="43"/>
    </row>
    <row r="9" spans="1:3" ht="30" customHeight="1" x14ac:dyDescent="0.25">
      <c r="A9" s="44" t="s">
        <v>87</v>
      </c>
      <c r="B9" s="45" t="s">
        <v>88</v>
      </c>
      <c r="C9" s="60">
        <v>46158</v>
      </c>
    </row>
    <row r="10" spans="1:3" ht="30" customHeight="1" x14ac:dyDescent="0.25">
      <c r="A10" s="44" t="s">
        <v>89</v>
      </c>
      <c r="B10" s="45" t="s">
        <v>90</v>
      </c>
      <c r="C10" s="60">
        <v>46190</v>
      </c>
    </row>
    <row r="11" spans="1:3" ht="30" customHeight="1" x14ac:dyDescent="0.25">
      <c r="A11" s="44" t="s">
        <v>91</v>
      </c>
      <c r="B11" s="45" t="s">
        <v>92</v>
      </c>
      <c r="C11" s="43" t="s">
        <v>93</v>
      </c>
    </row>
    <row r="12" spans="1:3" ht="30" customHeight="1" x14ac:dyDescent="0.25">
      <c r="A12" s="44" t="s">
        <v>13</v>
      </c>
      <c r="B12" s="45" t="s">
        <v>94</v>
      </c>
      <c r="C12" s="43" t="s">
        <v>95</v>
      </c>
    </row>
    <row r="13" spans="1:3" ht="30" customHeight="1" x14ac:dyDescent="0.25">
      <c r="A13" s="44" t="s">
        <v>96</v>
      </c>
      <c r="B13" s="45" t="s">
        <v>97</v>
      </c>
      <c r="C13" s="43" t="s">
        <v>98</v>
      </c>
    </row>
  </sheetData>
  <mergeCells count="3">
    <mergeCell ref="A5:C5"/>
    <mergeCell ref="A1:C1"/>
    <mergeCell ref="B2:C2"/>
  </mergeCell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3170ECD-0F86-49E9-A9E4-83D7484DB250}">
          <x14:formula1>
            <xm:f>Settings!$S$3:$S$9</xm:f>
          </x14:formula1>
          <xm:sqref>C12</xm:sqref>
        </x14:dataValidation>
        <x14:dataValidation type="list" allowBlank="1" showInputMessage="1" showErrorMessage="1" xr:uid="{17B5005C-C404-410C-B8FE-5C70F5611248}">
          <x14:formula1>
            <xm:f>IF(C12="Communication",Settings!$T$3:$T$24,IF(C12="Event",Settings!$U$3:$U$6,IF(C12="Services",Settings!$V$3:$V$13,IF(C12="Gifts",Settings!$W$3:$W$10,IF(C12="NPS",Settings!$X$3,IF(C12="Prospect",Settings!$Y$3,IF(C12="Moments",Settings!$Z$3:$Z$18,"")))))))</xm:f>
          </x14:formula1>
          <xm:sqref>C13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24DFA-2E2B-451B-BEB9-1A917690014C}">
  <sheetPr codeName="Foglio15"/>
  <dimension ref="A1:C7"/>
  <sheetViews>
    <sheetView showGridLines="0" workbookViewId="0">
      <pane ySplit="2" topLeftCell="A4" activePane="bottomLeft" state="frozen"/>
      <selection activeCell="H38" sqref="H38:H47"/>
      <selection pane="bottomLeft" activeCell="B22" sqref="B22"/>
    </sheetView>
  </sheetViews>
  <sheetFormatPr defaultRowHeight="15" x14ac:dyDescent="0.25"/>
  <cols>
    <col min="1" max="3" width="40.5703125" customWidth="1"/>
  </cols>
  <sheetData>
    <row r="1" spans="1:3" ht="20.100000000000001" customHeight="1" x14ac:dyDescent="0.25">
      <c r="A1" s="71" t="s">
        <v>26</v>
      </c>
      <c r="B1" s="71"/>
      <c r="C1" s="71"/>
    </row>
    <row r="2" spans="1:3" ht="30" customHeight="1" x14ac:dyDescent="0.25">
      <c r="A2" s="44" t="s">
        <v>29</v>
      </c>
      <c r="B2" s="69" t="str">
        <f>_xlfn.CONCAT(Common!D4,"_",Common!D5,"_",Common!D6,"_",Common!C15,"_",YEAR(Common!D16),TEXT(MONTH(Common!D16),"00"),TEXT(DAY(Common!D16),"00"),"_",Common!D17)</f>
        <v>ADHOC_GLOBAL_OTO_WHATSAPP_20260714_Le7BowlingBag</v>
      </c>
      <c r="C2" s="70"/>
    </row>
    <row r="3" spans="1:3" ht="20.100000000000001" customHeight="1" x14ac:dyDescent="0.25">
      <c r="A3" s="74" t="s">
        <v>36</v>
      </c>
      <c r="B3" s="77"/>
      <c r="C3" s="77"/>
    </row>
    <row r="4" spans="1:3" ht="30" customHeight="1" x14ac:dyDescent="0.25">
      <c r="A4" s="44" t="s">
        <v>37</v>
      </c>
      <c r="B4" s="69" t="s">
        <v>38</v>
      </c>
      <c r="C4" s="70"/>
    </row>
    <row r="5" spans="1:3" ht="20.100000000000001" customHeight="1" x14ac:dyDescent="0.25">
      <c r="A5" s="74" t="s">
        <v>39</v>
      </c>
      <c r="B5" s="77"/>
      <c r="C5" s="77"/>
    </row>
    <row r="6" spans="1:3" ht="20.100000000000001" customHeight="1" thickBot="1" x14ac:dyDescent="0.3">
      <c r="A6" s="55" t="s">
        <v>1</v>
      </c>
      <c r="B6" s="55" t="s">
        <v>2</v>
      </c>
      <c r="C6" s="55" t="s">
        <v>99</v>
      </c>
    </row>
    <row r="7" spans="1:3" ht="30" customHeight="1" x14ac:dyDescent="0.25">
      <c r="A7" s="44" t="s">
        <v>66</v>
      </c>
      <c r="B7" s="42" t="s">
        <v>100</v>
      </c>
      <c r="C7" s="51" t="s">
        <v>101</v>
      </c>
    </row>
  </sheetData>
  <mergeCells count="5">
    <mergeCell ref="A1:C1"/>
    <mergeCell ref="B2:C2"/>
    <mergeCell ref="A3:C3"/>
    <mergeCell ref="A5:C5"/>
    <mergeCell ref="B4:C4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8BCCB-E125-4169-973F-4295F567BF7E}">
  <sheetPr codeName="Foglio10"/>
  <dimension ref="A1:I19"/>
  <sheetViews>
    <sheetView showGridLines="0" zoomScale="60" zoomScaleNormal="60" workbookViewId="0">
      <selection activeCell="I86" sqref="I86:I93"/>
    </sheetView>
  </sheetViews>
  <sheetFormatPr defaultRowHeight="15" x14ac:dyDescent="0.25"/>
  <cols>
    <col min="1" max="1" width="22" customWidth="1"/>
    <col min="2" max="9" width="14" customWidth="1"/>
  </cols>
  <sheetData>
    <row r="1" spans="1:9" ht="30" customHeight="1" x14ac:dyDescent="0.25">
      <c r="A1" s="1"/>
      <c r="B1" s="1"/>
      <c r="C1" s="1"/>
      <c r="D1" s="1"/>
      <c r="E1" s="1"/>
      <c r="F1" s="1"/>
      <c r="G1" s="1"/>
      <c r="H1" s="1"/>
      <c r="I1" s="1"/>
    </row>
    <row r="2" spans="1:9" ht="30" customHeight="1" x14ac:dyDescent="0.25">
      <c r="A2" s="78" t="s">
        <v>102</v>
      </c>
      <c r="B2" s="78"/>
      <c r="C2" s="78"/>
      <c r="D2" s="78"/>
      <c r="E2" s="78"/>
      <c r="F2" s="78"/>
      <c r="G2" s="78"/>
      <c r="H2" s="78"/>
      <c r="I2" s="78"/>
    </row>
    <row r="3" spans="1:9" ht="30" customHeight="1" x14ac:dyDescent="0.25">
      <c r="A3" s="78"/>
      <c r="B3" s="78"/>
      <c r="C3" s="78"/>
      <c r="D3" s="78"/>
      <c r="E3" s="78"/>
      <c r="F3" s="78"/>
      <c r="G3" s="78"/>
      <c r="H3" s="78"/>
      <c r="I3" s="78"/>
    </row>
    <row r="4" spans="1:9" ht="30" customHeight="1" x14ac:dyDescent="0.25">
      <c r="A4" s="1"/>
      <c r="B4" s="1"/>
      <c r="C4" s="1"/>
      <c r="D4" s="1"/>
      <c r="E4" s="1"/>
      <c r="F4" s="1"/>
      <c r="G4" s="1"/>
      <c r="H4" s="1"/>
      <c r="I4" s="1"/>
    </row>
    <row r="5" spans="1:9" ht="30" customHeight="1" x14ac:dyDescent="0.25">
      <c r="A5" s="5"/>
      <c r="B5" s="6" t="s">
        <v>103</v>
      </c>
      <c r="C5" s="6" t="s">
        <v>104</v>
      </c>
      <c r="D5" s="6" t="s">
        <v>105</v>
      </c>
      <c r="E5" s="6" t="s">
        <v>106</v>
      </c>
      <c r="F5" s="6" t="s">
        <v>107</v>
      </c>
      <c r="G5" s="6" t="s">
        <v>108</v>
      </c>
      <c r="H5" s="6" t="s">
        <v>109</v>
      </c>
      <c r="I5" s="6" t="s">
        <v>110</v>
      </c>
    </row>
    <row r="6" spans="1:9" ht="30" customHeight="1" x14ac:dyDescent="0.25">
      <c r="A6" s="61" t="s">
        <v>111</v>
      </c>
      <c r="B6" s="7" t="s">
        <v>112</v>
      </c>
      <c r="C6" s="7" t="s">
        <v>112</v>
      </c>
      <c r="D6" s="7" t="s">
        <v>112</v>
      </c>
      <c r="E6" s="7" t="s">
        <v>112</v>
      </c>
      <c r="F6" s="7" t="s">
        <v>112</v>
      </c>
      <c r="G6" s="7" t="s">
        <v>112</v>
      </c>
      <c r="H6" s="7" t="s">
        <v>112</v>
      </c>
      <c r="I6" s="7" t="s">
        <v>112</v>
      </c>
    </row>
    <row r="7" spans="1:9" ht="30" customHeight="1" x14ac:dyDescent="0.25">
      <c r="A7" s="61" t="s">
        <v>113</v>
      </c>
      <c r="B7" s="8" t="s">
        <v>112</v>
      </c>
      <c r="C7" s="8" t="s">
        <v>112</v>
      </c>
      <c r="D7" s="8" t="s">
        <v>112</v>
      </c>
      <c r="E7" s="8" t="s">
        <v>112</v>
      </c>
      <c r="F7" s="9" t="s">
        <v>112</v>
      </c>
      <c r="G7" s="8" t="s">
        <v>112</v>
      </c>
      <c r="H7" s="9" t="s">
        <v>112</v>
      </c>
      <c r="I7" s="9" t="s">
        <v>112</v>
      </c>
    </row>
    <row r="8" spans="1:9" ht="30" customHeight="1" x14ac:dyDescent="0.25">
      <c r="A8" s="61" t="s">
        <v>114</v>
      </c>
      <c r="B8" s="7" t="s">
        <v>112</v>
      </c>
      <c r="C8" s="7" t="s">
        <v>112</v>
      </c>
      <c r="D8" s="7" t="s">
        <v>112</v>
      </c>
      <c r="E8" s="10" t="s">
        <v>112</v>
      </c>
      <c r="F8" s="10" t="s">
        <v>112</v>
      </c>
      <c r="G8" s="7" t="s">
        <v>112</v>
      </c>
      <c r="H8" s="10" t="s">
        <v>112</v>
      </c>
      <c r="I8" s="11" t="s">
        <v>112</v>
      </c>
    </row>
    <row r="9" spans="1:9" ht="30" customHeight="1" x14ac:dyDescent="0.25">
      <c r="A9" s="61" t="s">
        <v>115</v>
      </c>
      <c r="B9" s="9" t="s">
        <v>112</v>
      </c>
      <c r="C9" s="8" t="s">
        <v>112</v>
      </c>
      <c r="D9" s="9" t="s">
        <v>112</v>
      </c>
      <c r="E9" s="9" t="s">
        <v>112</v>
      </c>
      <c r="F9" s="9" t="s">
        <v>112</v>
      </c>
      <c r="G9" s="9" t="s">
        <v>112</v>
      </c>
      <c r="H9" s="9" t="s">
        <v>112</v>
      </c>
      <c r="I9" s="12" t="s">
        <v>112</v>
      </c>
    </row>
    <row r="10" spans="1:9" ht="30" customHeight="1" x14ac:dyDescent="0.25">
      <c r="A10" s="61" t="s">
        <v>116</v>
      </c>
      <c r="B10" s="7" t="s">
        <v>112</v>
      </c>
      <c r="C10" s="7" t="s">
        <v>112</v>
      </c>
      <c r="D10" s="7" t="s">
        <v>112</v>
      </c>
      <c r="E10" s="7" t="s">
        <v>112</v>
      </c>
      <c r="F10" s="10" t="s">
        <v>112</v>
      </c>
      <c r="G10" s="7" t="s">
        <v>112</v>
      </c>
      <c r="H10" s="7" t="s">
        <v>112</v>
      </c>
      <c r="I10" s="10" t="s">
        <v>112</v>
      </c>
    </row>
    <row r="11" spans="1:9" ht="30" customHeight="1" x14ac:dyDescent="0.25">
      <c r="A11" s="61" t="s">
        <v>117</v>
      </c>
      <c r="B11" s="8" t="s">
        <v>112</v>
      </c>
      <c r="C11" s="8" t="s">
        <v>112</v>
      </c>
      <c r="D11" s="8" t="s">
        <v>112</v>
      </c>
      <c r="E11" s="8" t="s">
        <v>112</v>
      </c>
      <c r="F11" s="8" t="s">
        <v>112</v>
      </c>
      <c r="G11" s="8" t="s">
        <v>112</v>
      </c>
      <c r="H11" s="9" t="s">
        <v>112</v>
      </c>
      <c r="I11" s="9" t="s">
        <v>112</v>
      </c>
    </row>
    <row r="12" spans="1:9" ht="30" customHeight="1" x14ac:dyDescent="0.25">
      <c r="A12" s="61" t="s">
        <v>118</v>
      </c>
      <c r="B12" s="7" t="s">
        <v>112</v>
      </c>
      <c r="C12" s="7" t="s">
        <v>112</v>
      </c>
      <c r="D12" s="7" t="s">
        <v>112</v>
      </c>
      <c r="E12" s="7" t="s">
        <v>112</v>
      </c>
      <c r="F12" s="7" t="s">
        <v>112</v>
      </c>
      <c r="G12" s="7" t="s">
        <v>112</v>
      </c>
      <c r="H12" s="10" t="s">
        <v>112</v>
      </c>
      <c r="I12" s="10" t="s">
        <v>112</v>
      </c>
    </row>
    <row r="13" spans="1:9" ht="30" customHeight="1" x14ac:dyDescent="0.25">
      <c r="A13" s="61" t="s">
        <v>119</v>
      </c>
      <c r="B13" s="8" t="s">
        <v>112</v>
      </c>
      <c r="C13" s="9" t="s">
        <v>112</v>
      </c>
      <c r="D13" s="8" t="s">
        <v>112</v>
      </c>
      <c r="E13" s="8" t="s">
        <v>112</v>
      </c>
      <c r="F13" s="9" t="s">
        <v>112</v>
      </c>
      <c r="G13" s="8" t="s">
        <v>112</v>
      </c>
      <c r="H13" s="8" t="s">
        <v>112</v>
      </c>
      <c r="I13" s="9" t="s">
        <v>112</v>
      </c>
    </row>
    <row r="14" spans="1:9" ht="30" customHeight="1" x14ac:dyDescent="0.25">
      <c r="A14" s="61" t="s">
        <v>120</v>
      </c>
      <c r="B14" s="7" t="s">
        <v>112</v>
      </c>
      <c r="C14" s="10" t="s">
        <v>112</v>
      </c>
      <c r="D14" s="10" t="s">
        <v>112</v>
      </c>
      <c r="E14" s="7" t="s">
        <v>112</v>
      </c>
      <c r="F14" s="10" t="s">
        <v>112</v>
      </c>
      <c r="G14" s="10" t="s">
        <v>112</v>
      </c>
      <c r="H14" s="10" t="s">
        <v>112</v>
      </c>
      <c r="I14" s="10" t="s">
        <v>112</v>
      </c>
    </row>
    <row r="15" spans="1:9" ht="30" customHeight="1" x14ac:dyDescent="0.25">
      <c r="A15" s="61" t="s">
        <v>121</v>
      </c>
      <c r="B15" s="8" t="s">
        <v>112</v>
      </c>
      <c r="C15" s="8" t="s">
        <v>112</v>
      </c>
      <c r="D15" s="8" t="s">
        <v>112</v>
      </c>
      <c r="E15" s="8" t="s">
        <v>112</v>
      </c>
      <c r="F15" s="8" t="s">
        <v>112</v>
      </c>
      <c r="G15" s="8" t="s">
        <v>112</v>
      </c>
      <c r="H15" s="12" t="s">
        <v>112</v>
      </c>
      <c r="I15" s="12" t="s">
        <v>112</v>
      </c>
    </row>
    <row r="16" spans="1:9" ht="30" customHeight="1" x14ac:dyDescent="0.25">
      <c r="A16" s="61" t="s">
        <v>122</v>
      </c>
      <c r="B16" s="7" t="s">
        <v>112</v>
      </c>
      <c r="C16" s="7" t="s">
        <v>112</v>
      </c>
      <c r="D16" s="7" t="s">
        <v>112</v>
      </c>
      <c r="E16" s="7" t="s">
        <v>112</v>
      </c>
      <c r="F16" s="7" t="s">
        <v>112</v>
      </c>
      <c r="G16" s="7" t="s">
        <v>112</v>
      </c>
      <c r="H16" s="7" t="s">
        <v>112</v>
      </c>
      <c r="I16" s="10" t="s">
        <v>112</v>
      </c>
    </row>
    <row r="17" spans="1:9" ht="30" customHeight="1" x14ac:dyDescent="0.25">
      <c r="A17" s="1"/>
      <c r="B17" s="1"/>
      <c r="C17" s="1"/>
      <c r="D17" s="1"/>
      <c r="E17" s="1"/>
      <c r="F17" s="1"/>
      <c r="G17" s="1"/>
      <c r="H17" s="1"/>
      <c r="I17" s="1"/>
    </row>
    <row r="18" spans="1:9" ht="30" customHeight="1" x14ac:dyDescent="0.25">
      <c r="C18" s="4" t="s">
        <v>112</v>
      </c>
      <c r="D18" s="13" t="s">
        <v>123</v>
      </c>
      <c r="E18" s="3" t="s">
        <v>112</v>
      </c>
      <c r="F18" s="13" t="s">
        <v>124</v>
      </c>
      <c r="G18" s="2" t="s">
        <v>112</v>
      </c>
      <c r="H18" s="13" t="s">
        <v>125</v>
      </c>
    </row>
    <row r="19" spans="1:9" ht="21.95" customHeight="1" x14ac:dyDescent="0.25"/>
  </sheetData>
  <mergeCells count="1">
    <mergeCell ref="A2:I3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6998E-E1AF-4631-88CF-2B74C2BEFDCD}">
  <sheetPr codeName="Foglio11"/>
  <dimension ref="A2:Z39"/>
  <sheetViews>
    <sheetView topLeftCell="H1" zoomScale="63" zoomScaleNormal="130" workbookViewId="0">
      <selection activeCell="P42" sqref="P42"/>
    </sheetView>
  </sheetViews>
  <sheetFormatPr defaultRowHeight="15" x14ac:dyDescent="0.25"/>
  <cols>
    <col min="1" max="1" width="18.42578125" customWidth="1"/>
    <col min="2" max="2" width="28.85546875" customWidth="1"/>
    <col min="3" max="4" width="17.85546875" customWidth="1"/>
    <col min="5" max="5" width="25.42578125" customWidth="1"/>
    <col min="6" max="7" width="13.85546875" bestFit="1" customWidth="1"/>
    <col min="8" max="8" width="14.85546875" customWidth="1"/>
    <col min="9" max="9" width="15.140625" customWidth="1"/>
    <col min="10" max="10" width="16.42578125" customWidth="1"/>
    <col min="11" max="11" width="12.85546875" customWidth="1"/>
    <col min="12" max="12" width="12.85546875" hidden="1" customWidth="1"/>
    <col min="13" max="13" width="15.42578125" hidden="1" customWidth="1"/>
    <col min="14" max="14" width="15.5703125" hidden="1" customWidth="1"/>
    <col min="15" max="15" width="17.42578125" hidden="1" customWidth="1"/>
    <col min="16" max="18" width="12.85546875" customWidth="1"/>
    <col min="19" max="19" width="17.5703125" customWidth="1"/>
    <col min="20" max="20" width="33.5703125" customWidth="1"/>
    <col min="21" max="21" width="26.140625" customWidth="1"/>
    <col min="22" max="22" width="25.5703125" customWidth="1"/>
    <col min="23" max="23" width="21.140625" customWidth="1"/>
    <col min="26" max="26" width="43.85546875" customWidth="1"/>
  </cols>
  <sheetData>
    <row r="2" spans="1:26" ht="30" customHeight="1" x14ac:dyDescent="0.25">
      <c r="A2" s="14" t="s">
        <v>126</v>
      </c>
      <c r="B2" s="14" t="s">
        <v>127</v>
      </c>
      <c r="C2" s="14" t="s">
        <v>127</v>
      </c>
      <c r="D2" s="14" t="s">
        <v>128</v>
      </c>
      <c r="E2" s="14" t="s">
        <v>129</v>
      </c>
      <c r="F2" s="14" t="s">
        <v>130</v>
      </c>
      <c r="G2" s="14" t="s">
        <v>127</v>
      </c>
      <c r="H2" s="32" t="s">
        <v>131</v>
      </c>
      <c r="I2" s="33" t="s">
        <v>132</v>
      </c>
      <c r="J2" s="33" t="s">
        <v>133</v>
      </c>
      <c r="K2" s="33" t="s">
        <v>134</v>
      </c>
      <c r="L2" s="33" t="s">
        <v>135</v>
      </c>
      <c r="M2" s="33" t="s">
        <v>136</v>
      </c>
      <c r="N2" s="33" t="s">
        <v>137</v>
      </c>
      <c r="O2" s="33" t="s">
        <v>138</v>
      </c>
      <c r="P2" s="33" t="s">
        <v>139</v>
      </c>
      <c r="Q2" s="33" t="s">
        <v>140</v>
      </c>
      <c r="R2" s="34" t="s">
        <v>141</v>
      </c>
      <c r="S2" s="33" t="s">
        <v>13</v>
      </c>
      <c r="T2" s="58" t="s">
        <v>142</v>
      </c>
      <c r="U2" s="58" t="s">
        <v>95</v>
      </c>
      <c r="V2" s="58" t="s">
        <v>143</v>
      </c>
      <c r="W2" s="58" t="s">
        <v>144</v>
      </c>
      <c r="X2" s="58" t="s">
        <v>145</v>
      </c>
      <c r="Y2" s="58" t="s">
        <v>146</v>
      </c>
      <c r="Z2" s="58" t="s">
        <v>147</v>
      </c>
    </row>
    <row r="3" spans="1:26" ht="24.95" customHeight="1" x14ac:dyDescent="0.25">
      <c r="A3" s="15" t="s">
        <v>6</v>
      </c>
      <c r="B3" s="15" t="s">
        <v>148</v>
      </c>
      <c r="C3" s="15" t="str">
        <f t="shared" ref="C3:C18" si="0">RIGHT(B3,2)</f>
        <v>EN</v>
      </c>
      <c r="D3" s="79" t="s">
        <v>149</v>
      </c>
      <c r="E3" s="66" t="s">
        <v>150</v>
      </c>
      <c r="F3" s="15" t="str">
        <f>RIGHT(E3,2)</f>
        <v>US</v>
      </c>
      <c r="G3" s="15" t="s">
        <v>151</v>
      </c>
      <c r="H3" s="35" t="s">
        <v>9</v>
      </c>
      <c r="I3" s="36" t="s">
        <v>12</v>
      </c>
      <c r="J3" s="36" t="s">
        <v>15</v>
      </c>
      <c r="K3" s="36" t="s">
        <v>17</v>
      </c>
      <c r="L3" s="36" t="s">
        <v>152</v>
      </c>
      <c r="M3" s="36" t="s">
        <v>153</v>
      </c>
      <c r="N3" s="36" t="s">
        <v>154</v>
      </c>
      <c r="O3" s="36" t="s">
        <v>155</v>
      </c>
      <c r="P3" s="36" t="s">
        <v>156</v>
      </c>
      <c r="Q3" s="36" t="s">
        <v>157</v>
      </c>
      <c r="R3" s="37" t="s">
        <v>158</v>
      </c>
      <c r="S3" s="57" t="s">
        <v>142</v>
      </c>
      <c r="T3" s="36" t="s">
        <v>159</v>
      </c>
      <c r="U3" s="36" t="s">
        <v>160</v>
      </c>
      <c r="V3" s="36" t="s">
        <v>161</v>
      </c>
      <c r="W3" s="36" t="s">
        <v>162</v>
      </c>
      <c r="X3" s="36" t="s">
        <v>145</v>
      </c>
      <c r="Y3" s="36" t="s">
        <v>146</v>
      </c>
      <c r="Z3" s="36" t="s">
        <v>163</v>
      </c>
    </row>
    <row r="4" spans="1:26" ht="24.95" customHeight="1" x14ac:dyDescent="0.25">
      <c r="B4" s="15" t="s">
        <v>164</v>
      </c>
      <c r="C4" s="15" t="str">
        <f t="shared" si="0"/>
        <v>IT</v>
      </c>
      <c r="D4" s="80"/>
      <c r="E4" s="66" t="s">
        <v>165</v>
      </c>
      <c r="F4" s="15" t="str">
        <f>RIGHT(E4,2)</f>
        <v>CA</v>
      </c>
      <c r="G4" s="15" t="s">
        <v>151</v>
      </c>
      <c r="H4" s="35" t="s">
        <v>152</v>
      </c>
      <c r="I4" s="36" t="s">
        <v>166</v>
      </c>
      <c r="J4" s="36" t="s">
        <v>167</v>
      </c>
      <c r="K4" s="36" t="s">
        <v>19</v>
      </c>
      <c r="L4" s="36" t="s">
        <v>145</v>
      </c>
      <c r="M4" s="36" t="s">
        <v>168</v>
      </c>
      <c r="N4" s="36" t="s">
        <v>146</v>
      </c>
      <c r="O4" s="36" t="s">
        <v>169</v>
      </c>
      <c r="P4" s="36" t="s">
        <v>170</v>
      </c>
      <c r="Q4" s="36" t="s">
        <v>171</v>
      </c>
      <c r="R4" s="37" t="s">
        <v>172</v>
      </c>
      <c r="S4" s="36" t="s">
        <v>95</v>
      </c>
      <c r="T4" s="36" t="s">
        <v>98</v>
      </c>
      <c r="U4" s="36" t="s">
        <v>173</v>
      </c>
      <c r="V4" s="36" t="s">
        <v>174</v>
      </c>
      <c r="W4" s="36" t="s">
        <v>175</v>
      </c>
      <c r="Z4" s="36" t="s">
        <v>176</v>
      </c>
    </row>
    <row r="5" spans="1:26" ht="24.95" customHeight="1" x14ac:dyDescent="0.25">
      <c r="A5" s="15"/>
      <c r="B5" s="15" t="s">
        <v>177</v>
      </c>
      <c r="C5" s="15" t="str">
        <f t="shared" si="0"/>
        <v>FR</v>
      </c>
      <c r="D5" s="80"/>
      <c r="E5" s="66" t="s">
        <v>178</v>
      </c>
      <c r="F5" s="15" t="str">
        <f>RIGHT(E5,2)</f>
        <v>MX</v>
      </c>
      <c r="G5" s="15" t="s">
        <v>179</v>
      </c>
      <c r="H5" s="35" t="s">
        <v>145</v>
      </c>
      <c r="I5" s="36" t="s">
        <v>180</v>
      </c>
      <c r="J5" s="36"/>
      <c r="K5" s="36" t="s">
        <v>45</v>
      </c>
      <c r="L5" s="36" t="s">
        <v>181</v>
      </c>
      <c r="M5" s="36" t="s">
        <v>182</v>
      </c>
      <c r="N5" s="36" t="s">
        <v>183</v>
      </c>
      <c r="O5" s="36" t="s">
        <v>184</v>
      </c>
      <c r="P5" s="36" t="s">
        <v>185</v>
      </c>
      <c r="Q5" s="36" t="s">
        <v>186</v>
      </c>
      <c r="R5" s="37" t="s">
        <v>187</v>
      </c>
      <c r="S5" s="36" t="s">
        <v>144</v>
      </c>
      <c r="T5" s="36" t="s">
        <v>188</v>
      </c>
      <c r="U5" s="36" t="s">
        <v>189</v>
      </c>
      <c r="V5" s="36" t="s">
        <v>190</v>
      </c>
      <c r="W5" s="36" t="s">
        <v>191</v>
      </c>
      <c r="Z5" s="36" t="s">
        <v>192</v>
      </c>
    </row>
    <row r="6" spans="1:26" ht="24.95" customHeight="1" x14ac:dyDescent="0.25">
      <c r="A6" s="15"/>
      <c r="B6" s="15" t="s">
        <v>193</v>
      </c>
      <c r="C6" s="15" t="str">
        <f t="shared" si="0"/>
        <v>ES</v>
      </c>
      <c r="D6" s="81"/>
      <c r="E6" s="65" t="s">
        <v>194</v>
      </c>
      <c r="F6" s="15" t="s">
        <v>195</v>
      </c>
      <c r="G6" s="15" t="s">
        <v>196</v>
      </c>
      <c r="H6" s="35" t="s">
        <v>181</v>
      </c>
      <c r="I6" s="36"/>
      <c r="J6" s="36"/>
      <c r="K6" s="36" t="s">
        <v>21</v>
      </c>
      <c r="L6" s="36" t="s">
        <v>197</v>
      </c>
      <c r="M6" s="36" t="s">
        <v>198</v>
      </c>
      <c r="N6" s="36" t="s">
        <v>199</v>
      </c>
      <c r="O6" s="36" t="s">
        <v>200</v>
      </c>
      <c r="P6" s="36" t="s">
        <v>201</v>
      </c>
      <c r="Q6" s="36" t="s">
        <v>149</v>
      </c>
      <c r="R6" s="37" t="s">
        <v>202</v>
      </c>
      <c r="S6" s="36" t="s">
        <v>147</v>
      </c>
      <c r="T6" s="36" t="s">
        <v>203</v>
      </c>
      <c r="U6" s="36" t="s">
        <v>204</v>
      </c>
      <c r="V6" s="36" t="s">
        <v>205</v>
      </c>
      <c r="W6" s="36" t="s">
        <v>206</v>
      </c>
      <c r="Z6" s="36" t="s">
        <v>207</v>
      </c>
    </row>
    <row r="7" spans="1:26" ht="24.95" customHeight="1" x14ac:dyDescent="0.25">
      <c r="A7" s="15"/>
      <c r="B7" s="15" t="s">
        <v>208</v>
      </c>
      <c r="C7" s="15" t="str">
        <f t="shared" si="0"/>
        <v>MX</v>
      </c>
      <c r="D7" s="82" t="s">
        <v>209</v>
      </c>
      <c r="E7" s="15" t="s">
        <v>210</v>
      </c>
      <c r="F7" s="15" t="str">
        <f t="shared" ref="F7:F35" si="1">RIGHT(E7,2)</f>
        <v>FR</v>
      </c>
      <c r="G7" s="15" t="s">
        <v>209</v>
      </c>
      <c r="H7" s="35" t="s">
        <v>197</v>
      </c>
      <c r="I7" s="36"/>
      <c r="J7" s="36"/>
      <c r="K7" s="36" t="s">
        <v>22</v>
      </c>
      <c r="L7" s="36"/>
      <c r="M7" s="36" t="s">
        <v>211</v>
      </c>
      <c r="N7" s="36" t="s">
        <v>212</v>
      </c>
      <c r="O7" s="36" t="s">
        <v>213</v>
      </c>
      <c r="P7" s="36"/>
      <c r="Q7" s="36" t="s">
        <v>214</v>
      </c>
      <c r="R7" s="37"/>
      <c r="S7" s="36" t="s">
        <v>145</v>
      </c>
      <c r="T7" s="36" t="s">
        <v>215</v>
      </c>
      <c r="V7" s="36" t="s">
        <v>216</v>
      </c>
      <c r="W7" s="36" t="s">
        <v>217</v>
      </c>
      <c r="Z7" s="36" t="s">
        <v>218</v>
      </c>
    </row>
    <row r="8" spans="1:26" ht="24.95" customHeight="1" x14ac:dyDescent="0.25">
      <c r="A8" s="15"/>
      <c r="B8" s="15" t="s">
        <v>219</v>
      </c>
      <c r="C8" s="15" t="str">
        <f t="shared" si="0"/>
        <v>PT</v>
      </c>
      <c r="D8" s="83"/>
      <c r="E8" s="15" t="s">
        <v>220</v>
      </c>
      <c r="F8" s="15" t="str">
        <f t="shared" si="1"/>
        <v>MC</v>
      </c>
      <c r="G8" s="15" t="s">
        <v>209</v>
      </c>
      <c r="H8" s="35"/>
      <c r="I8" s="36"/>
      <c r="J8" s="36"/>
      <c r="K8" s="36" t="s">
        <v>23</v>
      </c>
      <c r="L8" s="36"/>
      <c r="M8" s="36" t="s">
        <v>221</v>
      </c>
      <c r="N8" s="36" t="s">
        <v>222</v>
      </c>
      <c r="O8" s="36"/>
      <c r="P8" s="36"/>
      <c r="Q8" s="36" t="s">
        <v>223</v>
      </c>
      <c r="R8" s="37"/>
      <c r="S8" s="36" t="s">
        <v>146</v>
      </c>
      <c r="T8" s="36" t="s">
        <v>224</v>
      </c>
      <c r="V8" s="36" t="s">
        <v>225</v>
      </c>
      <c r="W8" s="36" t="s">
        <v>226</v>
      </c>
      <c r="Z8" s="36" t="s">
        <v>227</v>
      </c>
    </row>
    <row r="9" spans="1:26" ht="24.95" customHeight="1" x14ac:dyDescent="0.25">
      <c r="A9" s="15"/>
      <c r="B9" s="15" t="s">
        <v>228</v>
      </c>
      <c r="C9" s="15" t="str">
        <f t="shared" si="0"/>
        <v>JP</v>
      </c>
      <c r="D9" s="67" t="s">
        <v>223</v>
      </c>
      <c r="E9" s="15" t="s">
        <v>229</v>
      </c>
      <c r="F9" s="15" t="str">
        <f t="shared" si="1"/>
        <v>IT</v>
      </c>
      <c r="G9" s="15" t="str">
        <f>RIGHT(F11,2)</f>
        <v>ES</v>
      </c>
      <c r="H9" s="35"/>
      <c r="I9" s="36"/>
      <c r="J9" s="36"/>
      <c r="K9" s="36" t="s">
        <v>24</v>
      </c>
      <c r="L9" s="36"/>
      <c r="M9" s="36" t="s">
        <v>230</v>
      </c>
      <c r="N9" s="36"/>
      <c r="O9" s="36"/>
      <c r="P9" s="36"/>
      <c r="Q9" s="36" t="s">
        <v>209</v>
      </c>
      <c r="R9" s="37"/>
      <c r="S9" s="36" t="s">
        <v>143</v>
      </c>
      <c r="T9" s="36" t="s">
        <v>231</v>
      </c>
      <c r="V9" s="36" t="s">
        <v>232</v>
      </c>
      <c r="W9" s="36" t="s">
        <v>233</v>
      </c>
      <c r="Z9" s="36" t="s">
        <v>234</v>
      </c>
    </row>
    <row r="10" spans="1:26" ht="24.95" customHeight="1" x14ac:dyDescent="0.25">
      <c r="A10" s="15"/>
      <c r="B10" s="15" t="s">
        <v>235</v>
      </c>
      <c r="C10" s="15" t="str">
        <f t="shared" si="0"/>
        <v>KO</v>
      </c>
      <c r="D10" s="67" t="s">
        <v>236</v>
      </c>
      <c r="E10" s="15" t="s">
        <v>237</v>
      </c>
      <c r="F10" s="15" t="str">
        <f t="shared" si="1"/>
        <v>GB</v>
      </c>
      <c r="G10" s="15" t="s">
        <v>151</v>
      </c>
      <c r="H10" s="35"/>
      <c r="I10" s="36"/>
      <c r="J10" s="36"/>
      <c r="K10" s="36" t="s">
        <v>25</v>
      </c>
      <c r="L10" s="36"/>
      <c r="M10" s="36" t="s">
        <v>238</v>
      </c>
      <c r="N10" s="36"/>
      <c r="O10" s="36"/>
      <c r="P10" s="36"/>
      <c r="Q10" s="36" t="s">
        <v>236</v>
      </c>
      <c r="R10" s="37"/>
      <c r="S10" s="36"/>
      <c r="T10" s="36" t="s">
        <v>239</v>
      </c>
      <c r="V10" s="36" t="s">
        <v>240</v>
      </c>
      <c r="W10" s="36" t="s">
        <v>241</v>
      </c>
      <c r="Z10" s="36" t="s">
        <v>242</v>
      </c>
    </row>
    <row r="11" spans="1:26" ht="24.95" customHeight="1" x14ac:dyDescent="0.25">
      <c r="A11" s="16"/>
      <c r="B11" s="15" t="s">
        <v>243</v>
      </c>
      <c r="C11" s="15" t="s">
        <v>244</v>
      </c>
      <c r="D11" s="82" t="s">
        <v>214</v>
      </c>
      <c r="E11" s="15" t="s">
        <v>245</v>
      </c>
      <c r="F11" s="15" t="str">
        <f t="shared" si="1"/>
        <v>ES</v>
      </c>
      <c r="G11" s="15" t="s">
        <v>246</v>
      </c>
      <c r="H11" s="35"/>
      <c r="I11" s="36"/>
      <c r="J11" s="36"/>
      <c r="K11" s="36" t="s">
        <v>26</v>
      </c>
      <c r="L11" s="36"/>
      <c r="M11" s="36" t="s">
        <v>247</v>
      </c>
      <c r="N11" s="36"/>
      <c r="O11" s="36"/>
      <c r="P11" s="36"/>
      <c r="Q11" s="36"/>
      <c r="R11" s="37"/>
      <c r="S11" s="36"/>
      <c r="T11" s="36" t="s">
        <v>248</v>
      </c>
      <c r="V11" s="36" t="s">
        <v>249</v>
      </c>
      <c r="Z11" s="36" t="s">
        <v>250</v>
      </c>
    </row>
    <row r="12" spans="1:26" ht="24.95" customHeight="1" x14ac:dyDescent="0.25">
      <c r="A12" s="16"/>
      <c r="B12" s="56" t="s">
        <v>251</v>
      </c>
      <c r="C12" s="15" t="s">
        <v>252</v>
      </c>
      <c r="D12" s="84"/>
      <c r="E12" s="15" t="s">
        <v>253</v>
      </c>
      <c r="F12" s="15" t="str">
        <f t="shared" si="1"/>
        <v>AT</v>
      </c>
      <c r="G12" s="15" t="s">
        <v>151</v>
      </c>
      <c r="H12" s="38"/>
      <c r="I12" s="39"/>
      <c r="J12" s="39"/>
      <c r="K12" s="39"/>
      <c r="L12" s="39"/>
      <c r="M12" s="39" t="s">
        <v>254</v>
      </c>
      <c r="N12" s="39"/>
      <c r="O12" s="39"/>
      <c r="P12" s="39"/>
      <c r="Q12" s="39"/>
      <c r="R12" s="40"/>
      <c r="S12" s="39"/>
      <c r="T12" s="36" t="s">
        <v>255</v>
      </c>
      <c r="V12" s="36" t="s">
        <v>256</v>
      </c>
      <c r="Z12" s="36" t="s">
        <v>257</v>
      </c>
    </row>
    <row r="13" spans="1:26" ht="24.95" customHeight="1" x14ac:dyDescent="0.25">
      <c r="A13" s="16"/>
      <c r="B13" s="15" t="s">
        <v>258</v>
      </c>
      <c r="C13" s="15" t="str">
        <f t="shared" si="0"/>
        <v>TH</v>
      </c>
      <c r="D13" s="84"/>
      <c r="E13" s="15" t="s">
        <v>259</v>
      </c>
      <c r="F13" s="15" t="str">
        <f t="shared" si="1"/>
        <v>BE</v>
      </c>
      <c r="G13" s="15" t="s">
        <v>151</v>
      </c>
      <c r="T13" s="63" t="s">
        <v>260</v>
      </c>
      <c r="V13" s="36" t="s">
        <v>242</v>
      </c>
      <c r="Z13" s="36" t="s">
        <v>261</v>
      </c>
    </row>
    <row r="14" spans="1:26" ht="24.95" customHeight="1" x14ac:dyDescent="0.25">
      <c r="A14" s="16"/>
      <c r="B14" s="16"/>
      <c r="C14" s="16" t="str">
        <f t="shared" si="0"/>
        <v/>
      </c>
      <c r="D14" s="84"/>
      <c r="E14" s="15" t="s">
        <v>262</v>
      </c>
      <c r="F14" s="15" t="str">
        <f t="shared" si="1"/>
        <v>CH</v>
      </c>
      <c r="G14" s="15" t="s">
        <v>151</v>
      </c>
      <c r="T14" s="36" t="s">
        <v>263</v>
      </c>
      <c r="Z14" s="36" t="s">
        <v>264</v>
      </c>
    </row>
    <row r="15" spans="1:26" ht="24.95" customHeight="1" x14ac:dyDescent="0.25">
      <c r="A15" s="16"/>
      <c r="B15" s="16"/>
      <c r="C15" s="16" t="str">
        <f t="shared" si="0"/>
        <v/>
      </c>
      <c r="D15" s="84"/>
      <c r="E15" s="15" t="s">
        <v>265</v>
      </c>
      <c r="F15" s="15" t="str">
        <f t="shared" si="1"/>
        <v>CZ</v>
      </c>
      <c r="G15" s="15" t="s">
        <v>151</v>
      </c>
      <c r="T15" s="36" t="s">
        <v>266</v>
      </c>
      <c r="Z15" s="36" t="s">
        <v>267</v>
      </c>
    </row>
    <row r="16" spans="1:26" ht="24.95" customHeight="1" x14ac:dyDescent="0.25">
      <c r="A16" s="16"/>
      <c r="B16" s="16"/>
      <c r="C16" s="16" t="str">
        <f t="shared" si="0"/>
        <v/>
      </c>
      <c r="D16" s="84"/>
      <c r="E16" s="15" t="s">
        <v>268</v>
      </c>
      <c r="F16" s="15" t="str">
        <f t="shared" si="1"/>
        <v>DE</v>
      </c>
      <c r="G16" s="15" t="s">
        <v>151</v>
      </c>
      <c r="T16" s="36" t="s">
        <v>269</v>
      </c>
      <c r="Z16" s="36" t="s">
        <v>270</v>
      </c>
    </row>
    <row r="17" spans="1:26" ht="24.95" customHeight="1" x14ac:dyDescent="0.25">
      <c r="A17" s="16"/>
      <c r="B17" s="16"/>
      <c r="C17" s="16" t="str">
        <f t="shared" si="0"/>
        <v/>
      </c>
      <c r="D17" s="84"/>
      <c r="E17" s="15" t="s">
        <v>271</v>
      </c>
      <c r="F17" s="15" t="str">
        <f t="shared" si="1"/>
        <v>DK</v>
      </c>
      <c r="G17" s="15" t="s">
        <v>151</v>
      </c>
      <c r="T17" s="36" t="s">
        <v>272</v>
      </c>
      <c r="Z17" s="36" t="s">
        <v>273</v>
      </c>
    </row>
    <row r="18" spans="1:26" ht="24.95" customHeight="1" x14ac:dyDescent="0.25">
      <c r="A18" s="16"/>
      <c r="B18" s="16"/>
      <c r="C18" s="16" t="str">
        <f t="shared" si="0"/>
        <v/>
      </c>
      <c r="D18" s="84"/>
      <c r="E18" s="15" t="s">
        <v>220</v>
      </c>
      <c r="F18" s="15" t="str">
        <f t="shared" si="1"/>
        <v>MC</v>
      </c>
      <c r="G18" s="15" t="s">
        <v>209</v>
      </c>
      <c r="T18" s="36" t="s">
        <v>274</v>
      </c>
      <c r="Z18" s="36" t="s">
        <v>275</v>
      </c>
    </row>
    <row r="19" spans="1:26" ht="24.95" customHeight="1" x14ac:dyDescent="0.25">
      <c r="A19" s="16"/>
      <c r="B19" s="16"/>
      <c r="C19" s="16"/>
      <c r="D19" s="84"/>
      <c r="E19" s="15" t="s">
        <v>276</v>
      </c>
      <c r="F19" s="15" t="str">
        <f t="shared" si="1"/>
        <v>IE</v>
      </c>
      <c r="G19" s="15" t="s">
        <v>151</v>
      </c>
      <c r="T19" s="36" t="s">
        <v>277</v>
      </c>
    </row>
    <row r="20" spans="1:26" ht="24.95" customHeight="1" x14ac:dyDescent="0.25">
      <c r="A20" s="16"/>
      <c r="B20" s="16"/>
      <c r="C20" s="16"/>
      <c r="D20" s="83"/>
      <c r="E20" s="15" t="s">
        <v>278</v>
      </c>
      <c r="F20" s="15" t="str">
        <f t="shared" si="1"/>
        <v>NL</v>
      </c>
      <c r="G20" s="15" t="s">
        <v>151</v>
      </c>
      <c r="T20" s="36" t="s">
        <v>279</v>
      </c>
    </row>
    <row r="21" spans="1:26" ht="24.95" customHeight="1" x14ac:dyDescent="0.25">
      <c r="A21" s="16"/>
      <c r="B21" s="16"/>
      <c r="C21" s="16"/>
      <c r="D21" s="82" t="s">
        <v>280</v>
      </c>
      <c r="E21" s="15" t="s">
        <v>281</v>
      </c>
      <c r="F21" s="15" t="str">
        <f t="shared" si="1"/>
        <v>AE</v>
      </c>
      <c r="G21" s="15" t="s">
        <v>151</v>
      </c>
      <c r="T21" s="36" t="s">
        <v>282</v>
      </c>
    </row>
    <row r="22" spans="1:26" ht="24.95" customHeight="1" x14ac:dyDescent="0.25">
      <c r="A22" s="16"/>
      <c r="B22" s="16"/>
      <c r="C22" s="16"/>
      <c r="D22" s="84"/>
      <c r="E22" s="15" t="s">
        <v>283</v>
      </c>
      <c r="F22" s="15" t="str">
        <f t="shared" si="1"/>
        <v>KW</v>
      </c>
      <c r="G22" s="15" t="s">
        <v>151</v>
      </c>
      <c r="T22" s="36" t="s">
        <v>284</v>
      </c>
    </row>
    <row r="23" spans="1:26" ht="24.95" customHeight="1" x14ac:dyDescent="0.25">
      <c r="A23" s="16"/>
      <c r="B23" s="16"/>
      <c r="C23" s="16"/>
      <c r="D23" s="84"/>
      <c r="E23" s="15" t="s">
        <v>285</v>
      </c>
      <c r="F23" s="15" t="str">
        <f t="shared" si="1"/>
        <v>QA</v>
      </c>
      <c r="G23" s="15" t="s">
        <v>151</v>
      </c>
      <c r="T23" s="36" t="s">
        <v>286</v>
      </c>
    </row>
    <row r="24" spans="1:26" ht="24.95" customHeight="1" x14ac:dyDescent="0.25">
      <c r="A24" s="16"/>
      <c r="B24" s="16"/>
      <c r="C24" s="16"/>
      <c r="D24" s="83"/>
      <c r="E24" s="15" t="s">
        <v>287</v>
      </c>
      <c r="F24" s="15" t="str">
        <f t="shared" si="1"/>
        <v>SA</v>
      </c>
      <c r="G24" s="15" t="s">
        <v>151</v>
      </c>
      <c r="T24" s="36" t="s">
        <v>173</v>
      </c>
    </row>
    <row r="25" spans="1:26" ht="24.95" customHeight="1" x14ac:dyDescent="0.25">
      <c r="A25" s="16"/>
      <c r="B25" s="16"/>
      <c r="C25" s="16"/>
      <c r="D25" s="67" t="s">
        <v>186</v>
      </c>
      <c r="E25" s="15" t="s">
        <v>288</v>
      </c>
      <c r="F25" s="15" t="str">
        <f t="shared" si="1"/>
        <v>JP</v>
      </c>
      <c r="G25" s="15" t="s">
        <v>289</v>
      </c>
    </row>
    <row r="26" spans="1:26" ht="24.95" customHeight="1" x14ac:dyDescent="0.25">
      <c r="A26" s="16"/>
      <c r="B26" s="16"/>
      <c r="C26" s="16"/>
      <c r="D26" s="67" t="s">
        <v>171</v>
      </c>
      <c r="E26" s="15" t="s">
        <v>290</v>
      </c>
      <c r="F26" s="15" t="str">
        <f t="shared" si="1"/>
        <v>KR</v>
      </c>
      <c r="G26" s="15" t="s">
        <v>291</v>
      </c>
    </row>
    <row r="27" spans="1:26" ht="24.95" customHeight="1" x14ac:dyDescent="0.25">
      <c r="A27" s="16"/>
      <c r="B27" s="16"/>
      <c r="C27" s="16"/>
      <c r="D27" s="67" t="s">
        <v>157</v>
      </c>
      <c r="E27" s="15" t="s">
        <v>292</v>
      </c>
      <c r="F27" s="15" t="str">
        <f t="shared" si="1"/>
        <v>CN</v>
      </c>
      <c r="G27" s="15" t="s">
        <v>244</v>
      </c>
    </row>
    <row r="28" spans="1:26" ht="24.95" customHeight="1" x14ac:dyDescent="0.25">
      <c r="A28" s="16"/>
      <c r="B28" s="16"/>
      <c r="C28" s="16"/>
      <c r="D28" s="85" t="s">
        <v>293</v>
      </c>
      <c r="E28" s="15" t="s">
        <v>294</v>
      </c>
      <c r="F28" s="15" t="str">
        <f t="shared" si="1"/>
        <v>SG</v>
      </c>
      <c r="G28" s="15" t="s">
        <v>151</v>
      </c>
    </row>
    <row r="29" spans="1:26" ht="24.95" customHeight="1" x14ac:dyDescent="0.25">
      <c r="A29" s="16"/>
      <c r="B29" s="16"/>
      <c r="C29" s="16"/>
      <c r="D29" s="86"/>
      <c r="E29" s="15" t="s">
        <v>295</v>
      </c>
      <c r="F29" s="15" t="str">
        <f t="shared" si="1"/>
        <v>AU</v>
      </c>
      <c r="G29" s="15" t="s">
        <v>151</v>
      </c>
    </row>
    <row r="30" spans="1:26" ht="24.95" customHeight="1" x14ac:dyDescent="0.25">
      <c r="A30" s="16"/>
      <c r="B30" s="16"/>
      <c r="C30" s="16"/>
      <c r="D30" s="86"/>
      <c r="E30" s="15" t="s">
        <v>296</v>
      </c>
      <c r="F30" s="15" t="str">
        <f t="shared" si="1"/>
        <v>NZ</v>
      </c>
      <c r="G30" s="15" t="s">
        <v>151</v>
      </c>
    </row>
    <row r="31" spans="1:26" ht="24.95" customHeight="1" x14ac:dyDescent="0.25">
      <c r="A31" s="16"/>
      <c r="B31" s="16"/>
      <c r="C31" s="16"/>
      <c r="D31" s="86"/>
      <c r="E31" s="15" t="s">
        <v>297</v>
      </c>
      <c r="F31" s="15" t="str">
        <f t="shared" si="1"/>
        <v>TH</v>
      </c>
      <c r="G31" s="15" t="s">
        <v>298</v>
      </c>
    </row>
    <row r="32" spans="1:26" ht="24.95" customHeight="1" x14ac:dyDescent="0.25">
      <c r="A32" s="16"/>
      <c r="B32" s="16"/>
      <c r="C32" s="16"/>
      <c r="D32" s="86"/>
      <c r="E32" s="15" t="s">
        <v>299</v>
      </c>
      <c r="F32" s="15" t="str">
        <f t="shared" si="1"/>
        <v>MY</v>
      </c>
      <c r="G32" s="15" t="s">
        <v>151</v>
      </c>
    </row>
    <row r="33" spans="1:7" ht="24.95" customHeight="1" x14ac:dyDescent="0.25">
      <c r="A33" s="16"/>
      <c r="B33" s="16"/>
      <c r="C33" s="16"/>
      <c r="D33" s="86"/>
      <c r="E33" s="15" t="s">
        <v>300</v>
      </c>
      <c r="F33" s="15" t="str">
        <f t="shared" si="1"/>
        <v>TW</v>
      </c>
      <c r="G33" s="15" t="s">
        <v>301</v>
      </c>
    </row>
    <row r="34" spans="1:7" ht="24.95" customHeight="1" x14ac:dyDescent="0.25">
      <c r="A34" s="16"/>
      <c r="B34" s="16"/>
      <c r="C34" s="16"/>
      <c r="D34" s="86"/>
      <c r="E34" s="15" t="s">
        <v>302</v>
      </c>
      <c r="F34" s="15" t="str">
        <f t="shared" si="1"/>
        <v>HK</v>
      </c>
      <c r="G34" s="15" t="s">
        <v>301</v>
      </c>
    </row>
    <row r="35" spans="1:7" ht="24.95" customHeight="1" x14ac:dyDescent="0.25">
      <c r="A35" s="16"/>
      <c r="B35" s="16"/>
      <c r="C35" s="16"/>
      <c r="D35" s="87"/>
      <c r="E35" s="15" t="s">
        <v>303</v>
      </c>
      <c r="F35" s="15" t="str">
        <f t="shared" si="1"/>
        <v>MO</v>
      </c>
      <c r="G35" s="15" t="s">
        <v>301</v>
      </c>
    </row>
    <row r="36" spans="1:7" ht="24.95" customHeight="1" x14ac:dyDescent="0.25">
      <c r="A36" s="16"/>
      <c r="B36" s="16"/>
      <c r="C36" s="16"/>
      <c r="D36" s="67" t="s">
        <v>304</v>
      </c>
      <c r="E36" s="15"/>
      <c r="F36" s="15"/>
      <c r="G36" s="15" t="s">
        <v>151</v>
      </c>
    </row>
    <row r="37" spans="1:7" ht="30" customHeight="1" x14ac:dyDescent="0.25">
      <c r="A37" s="16"/>
      <c r="B37" s="16"/>
      <c r="C37" s="16"/>
      <c r="D37" s="16"/>
      <c r="E37" s="16"/>
      <c r="F37" s="16" t="str">
        <f t="shared" ref="F37:F39" si="2">RIGHT(E37,2)</f>
        <v/>
      </c>
      <c r="G37" s="16"/>
    </row>
    <row r="38" spans="1:7" ht="30" customHeight="1" x14ac:dyDescent="0.25">
      <c r="A38" s="16"/>
      <c r="B38" s="16"/>
      <c r="C38" s="16"/>
      <c r="D38" s="16"/>
      <c r="E38" s="16"/>
      <c r="F38" s="16" t="str">
        <f t="shared" si="2"/>
        <v/>
      </c>
      <c r="G38" s="16"/>
    </row>
    <row r="39" spans="1:7" ht="30" customHeight="1" x14ac:dyDescent="0.25">
      <c r="A39" s="16"/>
      <c r="B39" s="16"/>
      <c r="C39" s="16"/>
      <c r="D39" s="16"/>
      <c r="E39" s="16"/>
      <c r="F39" s="16" t="str">
        <f t="shared" si="2"/>
        <v/>
      </c>
      <c r="G39" s="16"/>
    </row>
  </sheetData>
  <autoFilter ref="T2:Z24" xr:uid="{F776998E-E1AF-4631-88CF-2B74C2BEFDCD}"/>
  <mergeCells count="5">
    <mergeCell ref="D3:D6"/>
    <mergeCell ref="D7:D8"/>
    <mergeCell ref="D11:D20"/>
    <mergeCell ref="D21:D24"/>
    <mergeCell ref="D28:D35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3BBEE-16E5-4F0A-AD0E-570505C64B6E}">
  <sheetPr codeName="Foglio16"/>
  <dimension ref="A1:F45"/>
  <sheetViews>
    <sheetView zoomScale="70" zoomScaleNormal="70" workbookViewId="0">
      <selection activeCell="C3" sqref="C3:F3"/>
    </sheetView>
  </sheetViews>
  <sheetFormatPr defaultRowHeight="15" x14ac:dyDescent="0.25"/>
  <cols>
    <col min="1" max="1" width="27.42578125" customWidth="1"/>
    <col min="2" max="2" width="45.5703125" customWidth="1"/>
    <col min="3" max="3" width="50.85546875" customWidth="1"/>
    <col min="4" max="4" width="21.85546875" customWidth="1"/>
    <col min="5" max="5" width="9.140625" customWidth="1"/>
    <col min="7" max="7" width="48.85546875" bestFit="1" customWidth="1"/>
    <col min="8" max="10" width="18.140625" customWidth="1"/>
    <col min="11" max="11" width="14.5703125" customWidth="1"/>
    <col min="12" max="14" width="18.140625" customWidth="1"/>
    <col min="15" max="17" width="14.5703125" customWidth="1"/>
  </cols>
  <sheetData>
    <row r="1" spans="1:6" ht="30" customHeight="1" x14ac:dyDescent="0.35">
      <c r="A1" s="93" t="s">
        <v>305</v>
      </c>
      <c r="B1" s="89"/>
      <c r="C1" s="89"/>
      <c r="D1" s="89"/>
      <c r="E1" s="89"/>
      <c r="F1" s="89"/>
    </row>
    <row r="2" spans="1:6" ht="30" customHeight="1" x14ac:dyDescent="0.25"/>
    <row r="3" spans="1:6" ht="30" customHeight="1" x14ac:dyDescent="0.35">
      <c r="A3" s="94" t="s">
        <v>306</v>
      </c>
      <c r="B3" s="89"/>
      <c r="C3" s="95" t="str">
        <f>IF(B7="ADHOC",B7&amp;"_"&amp;_xlfn.TEXTJOIN("_",TRUE,B11:B18),B7&amp;"_"&amp;_xlfn.TEXTJOIN("_",TRUE,B23:B27))</f>
        <v>ADHOC_GLOBAL_OTM_EMAIL_20260518_HappyNewYear_AW26_AT_VIP</v>
      </c>
      <c r="D3" s="96"/>
      <c r="E3" s="96"/>
      <c r="F3" s="97"/>
    </row>
    <row r="4" spans="1:6" ht="30" customHeight="1" x14ac:dyDescent="0.25">
      <c r="A4" s="98" t="s">
        <v>307</v>
      </c>
      <c r="B4" s="89"/>
      <c r="C4" s="89"/>
      <c r="D4" s="89"/>
      <c r="E4" s="89"/>
      <c r="F4" s="89"/>
    </row>
    <row r="5" spans="1:6" ht="30" customHeight="1" x14ac:dyDescent="0.25"/>
    <row r="6" spans="1:6" ht="30" customHeight="1" x14ac:dyDescent="0.25">
      <c r="A6" s="99" t="s">
        <v>308</v>
      </c>
      <c r="B6" s="89"/>
      <c r="C6" s="89"/>
      <c r="D6" s="89"/>
      <c r="E6" s="89"/>
      <c r="F6" s="89"/>
    </row>
    <row r="7" spans="1:6" ht="30" customHeight="1" x14ac:dyDescent="0.25">
      <c r="A7" s="21" t="s">
        <v>7</v>
      </c>
      <c r="B7" s="31" t="s">
        <v>9</v>
      </c>
    </row>
    <row r="8" spans="1:6" ht="30" customHeight="1" x14ac:dyDescent="0.25"/>
    <row r="9" spans="1:6" ht="30" customHeight="1" x14ac:dyDescent="0.25">
      <c r="A9" s="100" t="s">
        <v>309</v>
      </c>
      <c r="B9" s="89"/>
      <c r="C9" s="89"/>
      <c r="D9" s="89"/>
      <c r="E9" s="89"/>
      <c r="F9" s="89"/>
    </row>
    <row r="10" spans="1:6" ht="30" customHeight="1" x14ac:dyDescent="0.25">
      <c r="A10" s="30" t="s">
        <v>310</v>
      </c>
      <c r="B10" s="30" t="s">
        <v>311</v>
      </c>
      <c r="C10" s="30" t="s">
        <v>85</v>
      </c>
      <c r="D10" s="30" t="s">
        <v>312</v>
      </c>
    </row>
    <row r="11" spans="1:6" ht="30" customHeight="1" x14ac:dyDescent="0.25">
      <c r="A11" s="24" t="s">
        <v>313</v>
      </c>
      <c r="B11" s="25" t="s">
        <v>12</v>
      </c>
      <c r="C11" s="24" t="s">
        <v>314</v>
      </c>
      <c r="D11" s="26" t="s">
        <v>315</v>
      </c>
      <c r="F11" s="27" t="str">
        <f>IF(B7="ADHOC",SUBSTITUTE(_xlfn.TEXTJOIN("_",TRUE,"ADHOC",B11,B12,B13,B14,B15,B16,B17,B18)," ",""),"")</f>
        <v>ADHOC_GLOBAL_OTM_EMAIL_20260518_HappyNewYear_AW26_AT_VIP</v>
      </c>
    </row>
    <row r="12" spans="1:6" ht="30" customHeight="1" x14ac:dyDescent="0.25">
      <c r="A12" s="24" t="s">
        <v>316</v>
      </c>
      <c r="B12" s="25" t="s">
        <v>15</v>
      </c>
      <c r="C12" s="24" t="s">
        <v>317</v>
      </c>
      <c r="D12" s="26" t="s">
        <v>315</v>
      </c>
    </row>
    <row r="13" spans="1:6" ht="30" customHeight="1" x14ac:dyDescent="0.25">
      <c r="A13" s="24" t="s">
        <v>318</v>
      </c>
      <c r="B13" s="25" t="s">
        <v>17</v>
      </c>
      <c r="C13" s="24" t="s">
        <v>319</v>
      </c>
      <c r="D13" s="26" t="s">
        <v>315</v>
      </c>
    </row>
    <row r="14" spans="1:6" ht="30" customHeight="1" x14ac:dyDescent="0.25">
      <c r="A14" s="24" t="s">
        <v>320</v>
      </c>
      <c r="B14" s="29">
        <v>20260518</v>
      </c>
      <c r="C14" s="24" t="s">
        <v>321</v>
      </c>
      <c r="D14" s="26" t="s">
        <v>315</v>
      </c>
    </row>
    <row r="15" spans="1:6" ht="30" customHeight="1" x14ac:dyDescent="0.25">
      <c r="A15" s="24" t="s">
        <v>322</v>
      </c>
      <c r="B15" s="25" t="s">
        <v>323</v>
      </c>
      <c r="C15" s="24" t="s">
        <v>324</v>
      </c>
      <c r="D15" s="26" t="s">
        <v>315</v>
      </c>
    </row>
    <row r="16" spans="1:6" ht="30" customHeight="1" x14ac:dyDescent="0.25">
      <c r="A16" s="24" t="s">
        <v>325</v>
      </c>
      <c r="B16" s="25" t="s">
        <v>326</v>
      </c>
      <c r="C16" s="24" t="s">
        <v>327</v>
      </c>
      <c r="D16" s="23" t="s">
        <v>328</v>
      </c>
    </row>
    <row r="17" spans="1:6" ht="30" customHeight="1" x14ac:dyDescent="0.25">
      <c r="A17" s="24" t="s">
        <v>129</v>
      </c>
      <c r="B17" s="25" t="s">
        <v>329</v>
      </c>
      <c r="C17" s="24" t="s">
        <v>330</v>
      </c>
      <c r="D17" s="23" t="s">
        <v>328</v>
      </c>
    </row>
    <row r="18" spans="1:6" ht="30" customHeight="1" x14ac:dyDescent="0.25">
      <c r="A18" s="24" t="s">
        <v>36</v>
      </c>
      <c r="B18" s="25" t="s">
        <v>172</v>
      </c>
      <c r="C18" s="24" t="s">
        <v>331</v>
      </c>
      <c r="D18" s="23" t="s">
        <v>328</v>
      </c>
    </row>
    <row r="19" spans="1:6" ht="30" customHeight="1" x14ac:dyDescent="0.25"/>
    <row r="20" spans="1:6" ht="30" customHeight="1" x14ac:dyDescent="0.25">
      <c r="A20" s="88" t="s">
        <v>332</v>
      </c>
      <c r="B20" s="89"/>
      <c r="C20" s="89"/>
      <c r="D20" s="89"/>
      <c r="E20" s="89"/>
      <c r="F20" s="89"/>
    </row>
    <row r="21" spans="1:6" ht="30" customHeight="1" x14ac:dyDescent="0.25">
      <c r="A21" s="28" t="s">
        <v>310</v>
      </c>
      <c r="B21" s="28" t="s">
        <v>311</v>
      </c>
      <c r="C21" s="28" t="s">
        <v>85</v>
      </c>
      <c r="D21" s="28" t="s">
        <v>312</v>
      </c>
    </row>
    <row r="22" spans="1:6" ht="30" customHeight="1" x14ac:dyDescent="0.25">
      <c r="A22" s="24" t="s">
        <v>333</v>
      </c>
      <c r="B22" s="25" t="s">
        <v>181</v>
      </c>
      <c r="C22" s="24" t="s">
        <v>334</v>
      </c>
      <c r="D22" s="26" t="s">
        <v>315</v>
      </c>
      <c r="F22" s="27" t="str">
        <f>IF(B7="AUTOMATED",SUBSTITUTE(_xlfn.TEXTJOIN("_",TRUE,B22,B23,B24,B25,B26,B27)," ",""),"")</f>
        <v/>
      </c>
    </row>
    <row r="23" spans="1:6" ht="30" customHeight="1" x14ac:dyDescent="0.25">
      <c r="A23" s="24" t="s">
        <v>316</v>
      </c>
      <c r="B23" s="25" t="s">
        <v>238</v>
      </c>
      <c r="C23" s="24" t="s">
        <v>335</v>
      </c>
      <c r="D23" s="26" t="s">
        <v>315</v>
      </c>
    </row>
    <row r="24" spans="1:6" ht="30" customHeight="1" x14ac:dyDescent="0.25">
      <c r="A24" s="24" t="s">
        <v>336</v>
      </c>
      <c r="B24" s="25" t="s">
        <v>199</v>
      </c>
      <c r="C24" s="24" t="s">
        <v>337</v>
      </c>
      <c r="D24" s="26" t="s">
        <v>315</v>
      </c>
    </row>
    <row r="25" spans="1:6" ht="30" customHeight="1" x14ac:dyDescent="0.25">
      <c r="A25" s="24" t="s">
        <v>338</v>
      </c>
      <c r="B25" s="25" t="s">
        <v>200</v>
      </c>
      <c r="C25" s="24" t="s">
        <v>339</v>
      </c>
      <c r="D25" s="26" t="s">
        <v>315</v>
      </c>
    </row>
    <row r="26" spans="1:6" ht="30" customHeight="1" x14ac:dyDescent="0.25">
      <c r="A26" s="24" t="s">
        <v>340</v>
      </c>
      <c r="B26" s="25" t="s">
        <v>186</v>
      </c>
      <c r="C26" s="24" t="s">
        <v>341</v>
      </c>
      <c r="D26" s="23" t="s">
        <v>328</v>
      </c>
    </row>
    <row r="27" spans="1:6" ht="30" customHeight="1" x14ac:dyDescent="0.25">
      <c r="A27" s="24" t="s">
        <v>342</v>
      </c>
      <c r="B27" s="25" t="s">
        <v>323</v>
      </c>
      <c r="C27" s="24" t="s">
        <v>343</v>
      </c>
      <c r="D27" s="23" t="s">
        <v>328</v>
      </c>
    </row>
    <row r="28" spans="1:6" ht="30" customHeight="1" x14ac:dyDescent="0.25"/>
    <row r="29" spans="1:6" ht="30" customHeight="1" x14ac:dyDescent="0.25">
      <c r="A29" s="90" t="s">
        <v>344</v>
      </c>
      <c r="B29" s="90"/>
      <c r="C29" s="90"/>
      <c r="D29" s="90"/>
      <c r="E29" s="90"/>
      <c r="F29" s="90"/>
    </row>
    <row r="30" spans="1:6" ht="30" customHeight="1" x14ac:dyDescent="0.25">
      <c r="A30" s="22" t="s">
        <v>345</v>
      </c>
    </row>
    <row r="31" spans="1:6" ht="30" customHeight="1" x14ac:dyDescent="0.25">
      <c r="A31" s="22" t="s">
        <v>346</v>
      </c>
    </row>
    <row r="32" spans="1:6" ht="30" customHeight="1" x14ac:dyDescent="0.25">
      <c r="A32" s="22" t="s">
        <v>347</v>
      </c>
    </row>
    <row r="33" spans="1:6" ht="30" customHeight="1" x14ac:dyDescent="0.25">
      <c r="A33" s="22" t="s">
        <v>348</v>
      </c>
    </row>
    <row r="34" spans="1:6" ht="30" customHeight="1" x14ac:dyDescent="0.25">
      <c r="A34" s="22" t="s">
        <v>349</v>
      </c>
    </row>
    <row r="35" spans="1:6" ht="30" customHeight="1" x14ac:dyDescent="0.25"/>
    <row r="36" spans="1:6" ht="30" customHeight="1" x14ac:dyDescent="0.25">
      <c r="A36" s="91" t="s">
        <v>350</v>
      </c>
      <c r="B36" s="91"/>
      <c r="C36" s="91"/>
      <c r="D36" s="91"/>
      <c r="E36" s="91"/>
      <c r="F36" s="91"/>
    </row>
    <row r="37" spans="1:6" ht="30" customHeight="1" x14ac:dyDescent="0.25">
      <c r="A37" s="21" t="s">
        <v>351</v>
      </c>
      <c r="B37" s="17" t="s">
        <v>352</v>
      </c>
    </row>
    <row r="38" spans="1:6" ht="30" customHeight="1" x14ac:dyDescent="0.25">
      <c r="A38" s="21" t="s">
        <v>353</v>
      </c>
      <c r="B38" s="17" t="s">
        <v>354</v>
      </c>
    </row>
    <row r="39" spans="1:6" ht="30" customHeight="1" x14ac:dyDescent="0.25">
      <c r="A39" s="21" t="s">
        <v>355</v>
      </c>
      <c r="B39" s="17" t="s">
        <v>356</v>
      </c>
    </row>
    <row r="40" spans="1:6" ht="30" customHeight="1" x14ac:dyDescent="0.25">
      <c r="A40" s="21" t="s">
        <v>357</v>
      </c>
      <c r="B40" s="17" t="s">
        <v>358</v>
      </c>
    </row>
    <row r="41" spans="1:6" ht="30" customHeight="1" x14ac:dyDescent="0.25"/>
    <row r="42" spans="1:6" x14ac:dyDescent="0.25">
      <c r="A42" s="92" t="s">
        <v>359</v>
      </c>
      <c r="B42" s="92"/>
      <c r="C42" s="92"/>
      <c r="D42" s="92"/>
      <c r="E42" s="92"/>
      <c r="F42" s="92"/>
    </row>
    <row r="43" spans="1:6" ht="30" customHeight="1" x14ac:dyDescent="0.25">
      <c r="A43" s="20" t="s">
        <v>360</v>
      </c>
      <c r="B43" s="17" t="s">
        <v>361</v>
      </c>
    </row>
    <row r="44" spans="1:6" ht="30" customHeight="1" x14ac:dyDescent="0.25">
      <c r="A44" s="19" t="s">
        <v>362</v>
      </c>
      <c r="B44" s="17" t="s">
        <v>363</v>
      </c>
    </row>
    <row r="45" spans="1:6" ht="30" customHeight="1" x14ac:dyDescent="0.25">
      <c r="A45" s="18" t="s">
        <v>364</v>
      </c>
      <c r="B45" s="17" t="s">
        <v>365</v>
      </c>
    </row>
  </sheetData>
  <mergeCells count="10">
    <mergeCell ref="A20:F20"/>
    <mergeCell ref="A29:F29"/>
    <mergeCell ref="A36:F36"/>
    <mergeCell ref="A42:F42"/>
    <mergeCell ref="A1:F1"/>
    <mergeCell ref="A3:B3"/>
    <mergeCell ref="C3:F3"/>
    <mergeCell ref="A4:F4"/>
    <mergeCell ref="A6:F6"/>
    <mergeCell ref="A9:F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7832EA38-D157-4D35-9405-AD72CFCAC100}">
          <x14:formula1>
            <xm:f>Settings!$H$3:$H$7</xm:f>
          </x14:formula1>
          <xm:sqref>B7</xm:sqref>
        </x14:dataValidation>
        <x14:dataValidation type="list" allowBlank="1" showInputMessage="1" showErrorMessage="1" xr:uid="{6B9E9728-82C3-4DC5-A8D5-53872F71A1D6}">
          <x14:formula1>
            <xm:f>Settings!$I$3:$I$5</xm:f>
          </x14:formula1>
          <xm:sqref>B11</xm:sqref>
        </x14:dataValidation>
        <x14:dataValidation type="list" allowBlank="1" showInputMessage="1" showErrorMessage="1" xr:uid="{24DEADAC-BD63-4FAE-BA6A-C10705AB9199}">
          <x14:formula1>
            <xm:f>Settings!$J$3:$J$6</xm:f>
          </x14:formula1>
          <xm:sqref>B12</xm:sqref>
        </x14:dataValidation>
        <x14:dataValidation type="list" allowBlank="1" showInputMessage="1" showErrorMessage="1" xr:uid="{A24ECEF7-9DC9-403C-AA2A-6DB6268405BA}">
          <x14:formula1>
            <xm:f>Settings!$K$3:$K$10</xm:f>
          </x14:formula1>
          <xm:sqref>B13</xm:sqref>
        </x14:dataValidation>
        <x14:dataValidation type="list" allowBlank="1" showInputMessage="1" showErrorMessage="1" xr:uid="{3020E726-4216-4B43-B0C6-66E899EF5EBE}">
          <x14:formula1>
            <xm:f>Settings!$F$3:$F$39</xm:f>
          </x14:formula1>
          <xm:sqref>B17 B26</xm:sqref>
        </x14:dataValidation>
        <x14:dataValidation type="list" allowBlank="1" showInputMessage="1" showErrorMessage="1" xr:uid="{2A869FE3-CE41-4455-83C3-E51AF8F22A6F}">
          <x14:formula1>
            <xm:f>Settings!$R$3:$R$6</xm:f>
          </x14:formula1>
          <xm:sqref>B18</xm:sqref>
        </x14:dataValidation>
        <x14:dataValidation type="list" allowBlank="1" showInputMessage="1" showErrorMessage="1" xr:uid="{3DD8956A-51D3-4CF7-A4DF-F5F512765752}">
          <x14:formula1>
            <xm:f>Settings!$M$3:$M$12</xm:f>
          </x14:formula1>
          <xm:sqref>B23</xm:sqref>
        </x14:dataValidation>
        <x14:dataValidation type="list" allowBlank="1" showInputMessage="1" showErrorMessage="1" xr:uid="{EFAD3CC3-F3F0-4A39-AE1B-EE649B767573}">
          <x14:formula1>
            <xm:f>Settings!$N$5:$N$8</xm:f>
          </x14:formula1>
          <xm:sqref>B24</xm:sqref>
        </x14:dataValidation>
        <x14:dataValidation type="list" allowBlank="1" showInputMessage="1" showErrorMessage="1" xr:uid="{32388680-8806-437E-986C-5A96A10F616B}">
          <x14:formula1>
            <xm:f>Settings!$O$3:$O$7</xm:f>
          </x14:formula1>
          <xm:sqref>B25</xm:sqref>
        </x14:dataValidation>
        <x14:dataValidation type="list" allowBlank="1" showInputMessage="1" showErrorMessage="1" xr:uid="{7C052621-8D53-4958-8335-D032A4784D99}">
          <x14:formula1>
            <xm:f>Settings!$P$3:$P$8</xm:f>
          </x14:formula1>
          <xm:sqref>B16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86C2F-E96B-4871-B8F9-81E40D4D934F}">
  <sheetPr codeName="Foglio2"/>
  <dimension ref="A1:C22"/>
  <sheetViews>
    <sheetView showGridLines="0" zoomScale="70" zoomScaleNormal="100" workbookViewId="0">
      <pane ySplit="1" topLeftCell="A2" activePane="bottomLeft" state="frozen"/>
      <selection activeCell="H38" sqref="H38:H47"/>
      <selection pane="bottomLeft" activeCell="B2" sqref="B2:C2"/>
    </sheetView>
  </sheetViews>
  <sheetFormatPr defaultRowHeight="15" x14ac:dyDescent="0.25"/>
  <cols>
    <col min="1" max="3" width="40.5703125" customWidth="1"/>
    <col min="4" max="4" width="11.5703125" customWidth="1"/>
  </cols>
  <sheetData>
    <row r="1" spans="1:3" ht="20.100000000000001" customHeight="1" x14ac:dyDescent="0.25">
      <c r="A1" s="74" t="s">
        <v>17</v>
      </c>
      <c r="B1" s="77"/>
      <c r="C1" s="77"/>
    </row>
    <row r="2" spans="1:3" ht="30" customHeight="1" x14ac:dyDescent="0.25">
      <c r="A2" s="44" t="s">
        <v>29</v>
      </c>
      <c r="B2" s="69" t="str">
        <f>_xlfn.CONCAT(Common!D4,"_",Common!D5,"_",Common!D6,"_",Common!C7,"_",YEAR(Common!D16),TEXT(MONTH(Common!D16),"00"),TEXT(DAY(Common!D16),"00"),"_",Common!D17)</f>
        <v>ADHOC_GLOBAL_OTO_EMAIL_20260714_Le7BowlingBag</v>
      </c>
      <c r="C2" s="70"/>
    </row>
    <row r="3" spans="1:3" ht="20.100000000000001" customHeight="1" x14ac:dyDescent="0.25">
      <c r="A3" s="74" t="s">
        <v>36</v>
      </c>
      <c r="B3" s="77"/>
      <c r="C3" s="77"/>
    </row>
    <row r="4" spans="1:3" ht="30" customHeight="1" x14ac:dyDescent="0.25">
      <c r="A4" s="44" t="s">
        <v>366</v>
      </c>
      <c r="B4" s="69" t="s">
        <v>38</v>
      </c>
      <c r="C4" s="70"/>
    </row>
    <row r="5" spans="1:3" ht="20.100000000000001" customHeight="1" x14ac:dyDescent="0.25">
      <c r="A5" s="74" t="s">
        <v>39</v>
      </c>
      <c r="B5" s="77"/>
      <c r="C5" s="77"/>
    </row>
    <row r="6" spans="1:3" ht="20.100000000000001" customHeight="1" thickBot="1" x14ac:dyDescent="0.3">
      <c r="A6" s="55" t="s">
        <v>1</v>
      </c>
      <c r="B6" s="55" t="s">
        <v>2</v>
      </c>
      <c r="C6" s="55" t="s">
        <v>3</v>
      </c>
    </row>
    <row r="7" spans="1:3" ht="30" customHeight="1" x14ac:dyDescent="0.25">
      <c r="A7" s="44" t="s">
        <v>367</v>
      </c>
      <c r="B7" s="42" t="s">
        <v>368</v>
      </c>
      <c r="C7" s="43" t="s">
        <v>369</v>
      </c>
    </row>
    <row r="8" spans="1:3" ht="30" customHeight="1" x14ac:dyDescent="0.25">
      <c r="A8" s="44" t="s">
        <v>370</v>
      </c>
      <c r="B8" s="42"/>
      <c r="C8" s="43" t="s">
        <v>371</v>
      </c>
    </row>
    <row r="9" spans="1:3" ht="30" customHeight="1" x14ac:dyDescent="0.25">
      <c r="A9" s="44" t="s">
        <v>372</v>
      </c>
      <c r="B9" s="42" t="s">
        <v>373</v>
      </c>
      <c r="C9" s="43" t="s">
        <v>374</v>
      </c>
    </row>
    <row r="10" spans="1:3" ht="30" customHeight="1" x14ac:dyDescent="0.25">
      <c r="A10" s="44" t="s">
        <v>375</v>
      </c>
      <c r="B10" s="42" t="s">
        <v>376</v>
      </c>
      <c r="C10" s="43" t="s">
        <v>377</v>
      </c>
    </row>
    <row r="11" spans="1:3" ht="30" customHeight="1" x14ac:dyDescent="0.25">
      <c r="A11" s="44" t="s">
        <v>378</v>
      </c>
      <c r="B11" s="42" t="s">
        <v>379</v>
      </c>
      <c r="C11" s="43" t="s">
        <v>380</v>
      </c>
    </row>
    <row r="12" spans="1:3" ht="30" customHeight="1" x14ac:dyDescent="0.25">
      <c r="A12" s="44" t="s">
        <v>381</v>
      </c>
      <c r="B12" s="42" t="s">
        <v>382</v>
      </c>
      <c r="C12" s="43" t="s">
        <v>383</v>
      </c>
    </row>
    <row r="13" spans="1:3" ht="30" customHeight="1" x14ac:dyDescent="0.25">
      <c r="A13" s="44" t="s">
        <v>384</v>
      </c>
      <c r="B13" s="42" t="s">
        <v>379</v>
      </c>
      <c r="C13" s="43" t="s">
        <v>380</v>
      </c>
    </row>
    <row r="14" spans="1:3" ht="30" customHeight="1" x14ac:dyDescent="0.25">
      <c r="A14" s="44" t="s">
        <v>385</v>
      </c>
      <c r="B14" s="42" t="s">
        <v>382</v>
      </c>
      <c r="C14" s="43" t="s">
        <v>383</v>
      </c>
    </row>
    <row r="15" spans="1:3" ht="30" customHeight="1" x14ac:dyDescent="0.25">
      <c r="A15" s="44" t="s">
        <v>386</v>
      </c>
      <c r="B15" s="42" t="s">
        <v>387</v>
      </c>
      <c r="C15" s="43" t="s">
        <v>388</v>
      </c>
    </row>
    <row r="16" spans="1:3" ht="30" customHeight="1" x14ac:dyDescent="0.25">
      <c r="A16" s="44" t="s">
        <v>389</v>
      </c>
      <c r="B16" s="42" t="s">
        <v>390</v>
      </c>
      <c r="C16" s="43" t="s">
        <v>388</v>
      </c>
    </row>
    <row r="17" spans="1:3" ht="30" customHeight="1" x14ac:dyDescent="0.25">
      <c r="A17" s="44" t="s">
        <v>391</v>
      </c>
      <c r="B17" s="42" t="s">
        <v>392</v>
      </c>
      <c r="C17" s="43" t="s">
        <v>393</v>
      </c>
    </row>
    <row r="18" spans="1:3" ht="30" customHeight="1" x14ac:dyDescent="0.25">
      <c r="A18" s="44" t="s">
        <v>394</v>
      </c>
      <c r="B18" s="42" t="s">
        <v>392</v>
      </c>
      <c r="C18" s="43" t="s">
        <v>393</v>
      </c>
    </row>
    <row r="19" spans="1:3" ht="30" customHeight="1" x14ac:dyDescent="0.25">
      <c r="A19" s="44" t="s">
        <v>395</v>
      </c>
      <c r="B19" s="42" t="s">
        <v>390</v>
      </c>
      <c r="C19" s="43" t="s">
        <v>388</v>
      </c>
    </row>
    <row r="20" spans="1:3" ht="30" customHeight="1" x14ac:dyDescent="0.25">
      <c r="A20" s="44" t="s">
        <v>396</v>
      </c>
      <c r="B20" s="42" t="s">
        <v>390</v>
      </c>
      <c r="C20" s="43" t="s">
        <v>388</v>
      </c>
    </row>
    <row r="21" spans="1:3" ht="30" customHeight="1" x14ac:dyDescent="0.25"/>
    <row r="22" spans="1:3" ht="30" customHeight="1" x14ac:dyDescent="0.25">
      <c r="A22" s="44" t="s">
        <v>397</v>
      </c>
      <c r="B22" s="42" t="s">
        <v>398</v>
      </c>
      <c r="C22" s="43"/>
    </row>
  </sheetData>
  <mergeCells count="5">
    <mergeCell ref="B2:C2"/>
    <mergeCell ref="A1:C1"/>
    <mergeCell ref="A5:C5"/>
    <mergeCell ref="A3:C3"/>
    <mergeCell ref="B4:C4"/>
  </mergeCells>
  <hyperlinks>
    <hyperlink ref="C19" r:id="rId1" xr:uid="{D929B844-C77C-44A5-88AE-D4550B6540C3}"/>
    <hyperlink ref="C18" r:id="rId2" xr:uid="{2901A774-C81C-4069-9117-1CB7A6F3C6D5}"/>
    <hyperlink ref="C17" r:id="rId3" xr:uid="{5E2A98B3-417B-40BA-9728-990602946F4F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41D50-387E-4C83-BB31-805B8CE5B5FE}">
  <dimension ref="A1:D15"/>
  <sheetViews>
    <sheetView tabSelected="1" workbookViewId="0">
      <selection activeCell="D11" sqref="D11"/>
    </sheetView>
  </sheetViews>
  <sheetFormatPr defaultRowHeight="15" x14ac:dyDescent="0.25"/>
  <cols>
    <col min="1" max="1" width="15.7109375" bestFit="1" customWidth="1"/>
    <col min="2" max="2" width="25.5703125" bestFit="1" customWidth="1"/>
    <col min="3" max="3" width="40.5703125" customWidth="1"/>
    <col min="4" max="4" width="54.28515625" customWidth="1"/>
  </cols>
  <sheetData>
    <row r="1" spans="1:4" x14ac:dyDescent="0.25">
      <c r="A1" s="71" t="s">
        <v>25</v>
      </c>
      <c r="B1" s="71"/>
      <c r="C1" s="71"/>
      <c r="D1" s="71"/>
    </row>
    <row r="2" spans="1:4" ht="30" customHeight="1" x14ac:dyDescent="0.25">
      <c r="A2" s="44" t="s">
        <v>29</v>
      </c>
      <c r="B2" s="69" t="s">
        <v>401</v>
      </c>
      <c r="C2" s="70"/>
      <c r="D2" s="49"/>
    </row>
    <row r="3" spans="1:4" ht="30" customHeight="1" x14ac:dyDescent="0.25">
      <c r="A3" s="52"/>
      <c r="B3" s="59"/>
      <c r="C3" s="59"/>
      <c r="D3" s="59"/>
    </row>
    <row r="4" spans="1:4" ht="30" customHeight="1" x14ac:dyDescent="0.25"/>
    <row r="5" spans="1:4" x14ac:dyDescent="0.25">
      <c r="A5" s="72" t="s">
        <v>82</v>
      </c>
      <c r="B5" s="72"/>
      <c r="C5" s="72"/>
      <c r="D5" s="72"/>
    </row>
    <row r="6" spans="1:4" ht="30" customHeight="1" thickBot="1" x14ac:dyDescent="0.3">
      <c r="A6" s="55" t="s">
        <v>1</v>
      </c>
      <c r="B6" s="55" t="s">
        <v>2</v>
      </c>
      <c r="C6" s="55" t="s">
        <v>3</v>
      </c>
      <c r="D6" s="55" t="s">
        <v>151</v>
      </c>
    </row>
    <row r="7" spans="1:4" ht="30" customHeight="1" x14ac:dyDescent="0.25">
      <c r="A7" s="44" t="s">
        <v>83</v>
      </c>
      <c r="B7" s="45" t="s">
        <v>84</v>
      </c>
      <c r="C7" s="43"/>
      <c r="D7" s="43" t="s">
        <v>404</v>
      </c>
    </row>
    <row r="8" spans="1:4" ht="30" customHeight="1" x14ac:dyDescent="0.25">
      <c r="A8" s="44" t="s">
        <v>29</v>
      </c>
      <c r="B8" s="45" t="s">
        <v>403</v>
      </c>
      <c r="C8" s="43"/>
      <c r="D8" s="43" t="s">
        <v>405</v>
      </c>
    </row>
    <row r="9" spans="1:4" ht="61.5" customHeight="1" x14ac:dyDescent="0.25">
      <c r="A9" s="44" t="s">
        <v>85</v>
      </c>
      <c r="B9" s="45" t="s">
        <v>86</v>
      </c>
      <c r="C9" s="43"/>
      <c r="D9" s="68" t="s">
        <v>406</v>
      </c>
    </row>
    <row r="10" spans="1:4" ht="30" customHeight="1" x14ac:dyDescent="0.25">
      <c r="A10" s="44" t="s">
        <v>87</v>
      </c>
      <c r="B10" s="45" t="s">
        <v>88</v>
      </c>
      <c r="C10" s="60">
        <v>46158</v>
      </c>
      <c r="D10" s="60">
        <v>46217</v>
      </c>
    </row>
    <row r="11" spans="1:4" ht="30" customHeight="1" x14ac:dyDescent="0.25">
      <c r="A11" s="44" t="s">
        <v>89</v>
      </c>
      <c r="B11" s="45" t="s">
        <v>90</v>
      </c>
      <c r="C11" s="60">
        <v>46190</v>
      </c>
      <c r="D11" s="60">
        <v>46266</v>
      </c>
    </row>
    <row r="12" spans="1:4" ht="30" customHeight="1" x14ac:dyDescent="0.25">
      <c r="A12" s="44" t="s">
        <v>91</v>
      </c>
      <c r="B12" s="45" t="s">
        <v>92</v>
      </c>
      <c r="C12" s="43" t="s">
        <v>93</v>
      </c>
      <c r="D12" s="43" t="s">
        <v>93</v>
      </c>
    </row>
    <row r="13" spans="1:4" ht="30" customHeight="1" x14ac:dyDescent="0.25">
      <c r="A13" s="44" t="s">
        <v>13</v>
      </c>
      <c r="B13" s="45" t="s">
        <v>94</v>
      </c>
      <c r="C13" s="43" t="s">
        <v>95</v>
      </c>
      <c r="D13" s="43" t="s">
        <v>142</v>
      </c>
    </row>
    <row r="14" spans="1:4" ht="30" customHeight="1" x14ac:dyDescent="0.25">
      <c r="A14" s="44" t="s">
        <v>96</v>
      </c>
      <c r="B14" s="45" t="s">
        <v>97</v>
      </c>
      <c r="C14" s="43" t="s">
        <v>98</v>
      </c>
      <c r="D14" s="43" t="s">
        <v>279</v>
      </c>
    </row>
    <row r="15" spans="1:4" x14ac:dyDescent="0.25">
      <c r="A15" s="44" t="s">
        <v>37</v>
      </c>
      <c r="B15" s="43"/>
      <c r="C15" s="43"/>
      <c r="D15" s="43" t="s">
        <v>402</v>
      </c>
    </row>
  </sheetData>
  <mergeCells count="3">
    <mergeCell ref="B2:C2"/>
    <mergeCell ref="A1:D1"/>
    <mergeCell ref="A5:D5"/>
  </mergeCells>
  <dataValidations count="1">
    <dataValidation type="list" allowBlank="1" showInputMessage="1" showErrorMessage="1" sqref="C14" xr:uid="{DA0BF2E2-1CD4-493B-8C58-833CDDABA8BB}">
      <formula1>INDIRECT("Cat_"&amp;$C$13)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089628-5196-4464-9314-67E3E27B7796}">
          <x14:formula1>
            <xm:f>Settings!$S$3:$S$9</xm:f>
          </x14:formula1>
          <xm:sqref>C13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c4354b6-d1cf-4820-8af6-24e0500db819">
      <Terms xmlns="http://schemas.microsoft.com/office/infopath/2007/PartnerControls"/>
    </lcf76f155ced4ddcb4097134ff3c332f>
    <TaxCatchAll xmlns="54b2f7fd-6ac4-4f59-bf7a-81df19c7ef9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71C0BAF5D20847861C289E859F0513" ma:contentTypeVersion="12" ma:contentTypeDescription="Create a new document." ma:contentTypeScope="" ma:versionID="3ffd850cc6f14b5788cb7c83d21f178a">
  <xsd:schema xmlns:xsd="http://www.w3.org/2001/XMLSchema" xmlns:xs="http://www.w3.org/2001/XMLSchema" xmlns:p="http://schemas.microsoft.com/office/2006/metadata/properties" xmlns:ns2="ac4354b6-d1cf-4820-8af6-24e0500db819" xmlns:ns3="54b2f7fd-6ac4-4f59-bf7a-81df19c7ef93" targetNamespace="http://schemas.microsoft.com/office/2006/metadata/properties" ma:root="true" ma:fieldsID="9d931d4c9c0880c12a05b12bba080697" ns2:_="" ns3:_="">
    <xsd:import namespace="ac4354b6-d1cf-4820-8af6-24e0500db819"/>
    <xsd:import namespace="54b2f7fd-6ac4-4f59-bf7a-81df19c7ef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4354b6-d1cf-4820-8af6-24e0500db8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b2f7fd-6ac4-4f59-bf7a-81df19c7ef9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14cae18e-5387-42d3-ae63-5d16f7b18a8e}" ma:internalName="TaxCatchAll" ma:showField="CatchAllData" ma:web="54b2f7fd-6ac4-4f59-bf7a-81df19c7ef9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B7E683-409C-4866-AB08-A2AE3233779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66C0E5A-7A8F-4011-93C3-E4FFB27AD663}">
  <ds:schemaRefs>
    <ds:schemaRef ds:uri="http://schemas.microsoft.com/office/2006/metadata/properties"/>
    <ds:schemaRef ds:uri="54b2f7fd-6ac4-4f59-bf7a-81df19c7ef93"/>
    <ds:schemaRef ds:uri="http://schemas.openxmlformats.org/package/2006/metadata/core-properties"/>
    <ds:schemaRef ds:uri="http://schemas.microsoft.com/office/2006/documentManagement/types"/>
    <ds:schemaRef ds:uri="ac4354b6-d1cf-4820-8af6-24e0500db819"/>
    <ds:schemaRef ds:uri="http://purl.org/dc/dcmitype/"/>
    <ds:schemaRef ds:uri="http://schemas.microsoft.com/office/infopath/2007/PartnerControls"/>
    <ds:schemaRef ds:uri="http://www.w3.org/XML/1998/namespace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817260F2-1ACB-48E4-A93E-B7A7EE59A8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4354b6-d1cf-4820-8af6-24e0500db819"/>
    <ds:schemaRef ds:uri="54b2f7fd-6ac4-4f59-bf7a-81df19c7ef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Common</vt:lpstr>
      <vt:lpstr>SMS</vt:lpstr>
      <vt:lpstr>VMS</vt:lpstr>
      <vt:lpstr>MMS</vt:lpstr>
      <vt:lpstr>LINE</vt:lpstr>
      <vt:lpstr>KKT</vt:lpstr>
      <vt:lpstr>WECHAT</vt:lpstr>
      <vt:lpstr>TASK</vt:lpstr>
      <vt:lpstr>WHATSAPP</vt:lpstr>
      <vt:lpstr>Channel Overview</vt:lpstr>
      <vt:lpstr>Settings</vt:lpstr>
      <vt:lpstr>Campaign Name Generator</vt:lpstr>
      <vt:lpstr>EMAIL</vt:lpstr>
      <vt:lpstr>Campaign Brief</vt:lpstr>
      <vt:lpstr>Cat_Communication</vt:lpstr>
      <vt:lpstr>Cat_Event</vt:lpstr>
      <vt:lpstr>Cat_Gifts</vt:lpstr>
      <vt:lpstr>Cat_Moments</vt:lpstr>
      <vt:lpstr>Cat_NPS</vt:lpstr>
      <vt:lpstr>Cat_Prospect</vt:lpstr>
      <vt:lpstr>Cat_Services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Beatrice Beretta (IT)</cp:lastModifiedBy>
  <cp:revision/>
  <dcterms:created xsi:type="dcterms:W3CDTF">2026-05-15T10:34:42Z</dcterms:created>
  <dcterms:modified xsi:type="dcterms:W3CDTF">2026-07-13T11:29:57Z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0x0101001871C0BAF5D20847861C289E859F0513</vt:lpwstr>
  </property>
  <property fmtid="{D5CDD505-2E9C-101B-9397-08002B2CF9AE}" pid="3" name="MediaServiceImageTags">
    <vt:lpwstr/>
  </property>
  <property fmtid="{D5CDD505-2E9C-101B-9397-08002B2CF9AE}" pid="4" name="MSIP_Label_2e1840fb-8939-4796-95d0-bc833736564d_Enabled">
    <vt:lpwstr>true</vt:lpwstr>
  </property>
  <property fmtid="{D5CDD505-2E9C-101B-9397-08002B2CF9AE}" pid="5" name="MSIP_Label_2e1840fb-8939-4796-95d0-bc833736564d_SetDate">
    <vt:lpwstr>2026-07-13T11:20:35Z</vt:lpwstr>
  </property>
  <property fmtid="{D5CDD505-2E9C-101B-9397-08002B2CF9AE}" pid="6" name="MSIP_Label_2e1840fb-8939-4796-95d0-bc833736564d_Method">
    <vt:lpwstr>Standard</vt:lpwstr>
  </property>
  <property fmtid="{D5CDD505-2E9C-101B-9397-08002B2CF9AE}" pid="7" name="MSIP_Label_2e1840fb-8939-4796-95d0-bc833736564d_Name">
    <vt:lpwstr>Confidential - Open Access</vt:lpwstr>
  </property>
  <property fmtid="{D5CDD505-2E9C-101B-9397-08002B2CF9AE}" pid="8" name="MSIP_Label_2e1840fb-8939-4796-95d0-bc833736564d_SiteId">
    <vt:lpwstr>513294a0-3e20-41b2-a970-6d30bf1546fa</vt:lpwstr>
  </property>
  <property fmtid="{D5CDD505-2E9C-101B-9397-08002B2CF9AE}" pid="9" name="MSIP_Label_2e1840fb-8939-4796-95d0-bc833736564d_ActionId">
    <vt:lpwstr>05f62fb3-4104-4ce2-99ed-26f4a945b326</vt:lpwstr>
  </property>
  <property fmtid="{D5CDD505-2E9C-101B-9397-08002B2CF9AE}" pid="10" name="MSIP_Label_2e1840fb-8939-4796-95d0-bc833736564d_ContentBits">
    <vt:lpwstr>0</vt:lpwstr>
  </property>
  <property fmtid="{D5CDD505-2E9C-101B-9397-08002B2CF9AE}" pid="11" name="MSIP_Label_2e1840fb-8939-4796-95d0-bc833736564d_Tag">
    <vt:lpwstr>10, 3, 0, 1</vt:lpwstr>
  </property>
</Properties>
</file>